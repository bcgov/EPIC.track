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hases" sheetId="1" state="visible" r:id="rId2"/>
    <sheet name="Events" sheetId="2" state="visible" r:id="rId3"/>
    <sheet name="Outcomes" sheetId="3" state="visible" r:id="rId4"/>
    <sheet name="Actions" sheetId="4" state="visible" r:id="rId5"/>
    <sheet name="Lookups" sheetId="5" state="visible" r:id="rId6"/>
    <sheet name="Outcome_Temp" sheetId="6" state="visible" r:id="rId7"/>
    <sheet name="Action_Temp" sheetId="7" state="visible" r:id="rId8"/>
  </sheets>
  <definedNames>
    <definedName function="false" hidden="true" localSheetId="1" name="_xlnm._FilterDatabase" vbProcedure="false">Events!$A$1:$M$62</definedName>
    <definedName function="false" hidden="true" localSheetId="2" name="_xlnm._FilterDatabase" vbProcedure="false">Outcomes!$A$1:$F$15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<sst xmlns="http://schemas.openxmlformats.org/spreadsheetml/2006/main" count="747" uniqueCount="232">
  <si>
    <t xml:space="preserve">No</t>
  </si>
  <si>
    <t xml:space="preserve">Name</t>
  </si>
  <si>
    <t xml:space="preserve">WorkType</t>
  </si>
  <si>
    <t xml:space="preserve">EAAct</t>
  </si>
  <si>
    <t xml:space="preserve">NumberOfDays</t>
  </si>
  <si>
    <t xml:space="preserve">Legislated</t>
  </si>
  <si>
    <t xml:space="preserve">Color</t>
  </si>
  <si>
    <t xml:space="preserve">Visibility</t>
  </si>
  <si>
    <t xml:space="preserve">SortOrder</t>
  </si>
  <si>
    <t xml:space="preserve">Notification Intake</t>
  </si>
  <si>
    <t xml:space="preserve">Project Notification</t>
  </si>
  <si>
    <t xml:space="preserve">EA Act (2018)</t>
  </si>
  <si>
    <t xml:space="preserve">#FFFFFF</t>
  </si>
  <si>
    <t xml:space="preserve">REGULAR</t>
  </si>
  <si>
    <t xml:space="preserve">Notification Review</t>
  </si>
  <si>
    <t xml:space="preserve">Notification Decision</t>
  </si>
  <si>
    <t xml:space="preserve">Parent</t>
  </si>
  <si>
    <t xml:space="preserve">PhaseNo</t>
  </si>
  <si>
    <t xml:space="preserve">EventName</t>
  </si>
  <si>
    <t xml:space="preserve">Phase</t>
  </si>
  <si>
    <t xml:space="preserve">EventType</t>
  </si>
  <si>
    <t xml:space="preserve">EventCategory</t>
  </si>
  <si>
    <t xml:space="preserve">EventPosition</t>
  </si>
  <si>
    <t xml:space="preserve">MultipleDays</t>
  </si>
  <si>
    <t xml:space="preserve">StartAt</t>
  </si>
  <si>
    <t xml:space="preserve">Start of Intake Phase (e.g. Initial Contact, Draft Sharing, or PN Submission)</t>
  </si>
  <si>
    <t xml:space="preserve">Date Capture</t>
  </si>
  <si>
    <t xml:space="preserve">Milestone</t>
  </si>
  <si>
    <t xml:space="preserve">START</t>
  </si>
  <si>
    <t xml:space="preserve">MANDATORY</t>
  </si>
  <si>
    <t xml:space="preserve">Executive Calendar Notification</t>
  </si>
  <si>
    <t xml:space="preserve">Executive</t>
  </si>
  <si>
    <t xml:space="preserve">Calendar</t>
  </si>
  <si>
    <t xml:space="preserve">INTERMEDIATE</t>
  </si>
  <si>
    <t xml:space="preserve">Meeting with Proponent</t>
  </si>
  <si>
    <t xml:space="preserve">Meeting</t>
  </si>
  <si>
    <t xml:space="preserve">SUGGESTED</t>
  </si>
  <si>
    <t xml:space="preserve">Additional Information Submission</t>
  </si>
  <si>
    <t xml:space="preserve">Submission</t>
  </si>
  <si>
    <t xml:space="preserve">OPTIONAL</t>
  </si>
  <si>
    <t xml:space="preserve">Document Submitted to EAO for "Initial Review"</t>
  </si>
  <si>
    <t xml:space="preserve">EAO's Viewpoint on Submitted Document</t>
  </si>
  <si>
    <t xml:space="preserve">PAD (Lead)</t>
  </si>
  <si>
    <t xml:space="preserve">Decision</t>
  </si>
  <si>
    <t xml:space="preserve">Delegation of PN Decision</t>
  </si>
  <si>
    <t xml:space="preserve">Minister</t>
  </si>
  <si>
    <t xml:space="preserve">Project Notification Withdrawn</t>
  </si>
  <si>
    <t xml:space="preserve">EPD</t>
  </si>
  <si>
    <t xml:space="preserve">Direct Submission of Project Notification - DELETE this Intake Phase!</t>
  </si>
  <si>
    <t xml:space="preserve">Other</t>
  </si>
  <si>
    <t xml:space="preserve">Last Day of Intake Phase (day before formal submission)</t>
  </si>
  <si>
    <t xml:space="preserve">END</t>
  </si>
  <si>
    <t xml:space="preserve">Project Notification Submission Received (Day Zero)</t>
  </si>
  <si>
    <t xml:space="preserve">Comment Period</t>
  </si>
  <si>
    <t xml:space="preserve">PCP</t>
  </si>
  <si>
    <t xml:space="preserve">PCP Coming Soon Announcement &amp; Tweet</t>
  </si>
  <si>
    <t xml:space="preserve">Communications</t>
  </si>
  <si>
    <t xml:space="preserve">PCP Now Open Announcement &amp; Tweet</t>
  </si>
  <si>
    <t xml:space="preserve">PCP Ending Soon Announcement &amp; Tweet</t>
  </si>
  <si>
    <t xml:space="preserve">number_of_days-2</t>
  </si>
  <si>
    <t xml:space="preserve">GHG Threshold Information Note</t>
  </si>
  <si>
    <t xml:space="preserve">Report</t>
  </si>
  <si>
    <t xml:space="preserve">Additional Comment Period</t>
  </si>
  <si>
    <t xml:space="preserve">Open House</t>
  </si>
  <si>
    <t xml:space="preserve">Virtual Information Session</t>
  </si>
  <si>
    <t xml:space="preserve">Comment Period Time Limit Extension</t>
  </si>
  <si>
    <t xml:space="preserve">PCP Time Limit Extension</t>
  </si>
  <si>
    <t xml:space="preserve">Extension</t>
  </si>
  <si>
    <t xml:space="preserve">PCP Extended Announcement &amp; Tweet</t>
  </si>
  <si>
    <t xml:space="preserve">s.38 Extension of Time Limit</t>
  </si>
  <si>
    <t xml:space="preserve">Time Limit Extension</t>
  </si>
  <si>
    <t xml:space="preserve">Extension Announcement &amp; Tweet</t>
  </si>
  <si>
    <t xml:space="preserve">Project Notification Terminated s.39(d)</t>
  </si>
  <si>
    <t xml:space="preserve">CEAO</t>
  </si>
  <si>
    <t xml:space="preserve">Termination Announcement &amp; Tweet</t>
  </si>
  <si>
    <t xml:space="preserve">Withdrawal Announcement &amp; Tweet</t>
  </si>
  <si>
    <t xml:space="preserve">Project Notification Report referred to Decision Maker</t>
  </si>
  <si>
    <t xml:space="preserve">Referral</t>
  </si>
  <si>
    <t xml:space="preserve">Decision: Project Notification</t>
  </si>
  <si>
    <t xml:space="preserve">HIDDEN</t>
  </si>
  <si>
    <t xml:space="preserve">Notification Decision Announcement &amp; Tweet</t>
  </si>
  <si>
    <t xml:space="preserve">Project Notification Report Received by Decision Maker</t>
  </si>
  <si>
    <t xml:space="preserve">TemplateNo</t>
  </si>
  <si>
    <t xml:space="preserve">TemplateName</t>
  </si>
  <si>
    <t xml:space="preserve">OutcomeName</t>
  </si>
  <si>
    <t xml:space="preserve">OutcomeDescription</t>
  </si>
  <si>
    <t xml:space="preserve">Viewpoint is POSITIVE</t>
  </si>
  <si>
    <t xml:space="preserve">EAO's Viewpoint is POSITIVE</t>
  </si>
  <si>
    <t xml:space="preserve">Viewpoint is NEGATIVE</t>
  </si>
  <si>
    <t xml:space="preserve">EAO's Viewpoint is NEGATIVE</t>
  </si>
  <si>
    <t xml:space="preserve">Minister's Decision</t>
  </si>
  <si>
    <t xml:space="preserve">Minister to make the Project Notification Decision</t>
  </si>
  <si>
    <t xml:space="preserve">CEAO's Decision</t>
  </si>
  <si>
    <t xml:space="preserve">CEAO is delegated to make the Project Notification Decision</t>
  </si>
  <si>
    <t xml:space="preserve">PN Submission Withdrawn</t>
  </si>
  <si>
    <t xml:space="preserve">Proponent withdraws Submission from the Project Notification process</t>
  </si>
  <si>
    <t xml:space="preserve">Delete the Intake Phase</t>
  </si>
  <si>
    <t xml:space="preserve">Delete this "Intake Phase" and go directly to "Notification Review"</t>
  </si>
  <si>
    <t xml:space="preserve">Start the Review Period</t>
  </si>
  <si>
    <t xml:space="preserve">Starts the 60-Day Legislated Time Period for Project Notification</t>
  </si>
  <si>
    <t xml:space="preserve">PN is Terminated (s.39)</t>
  </si>
  <si>
    <t xml:space="preserve">Project Notification is Terminated under s.39(d) of Act</t>
  </si>
  <si>
    <t xml:space="preserve">No Further Review Required</t>
  </si>
  <si>
    <t xml:space="preserve">Revised PN Submission Required</t>
  </si>
  <si>
    <t xml:space="preserve">A Revised Project Notification Submission is Needed</t>
  </si>
  <si>
    <t xml:space="preserve">Referred for Minister's Designation</t>
  </si>
  <si>
    <t xml:space="preserve">Project Referred to Minister for Designation (s.11)</t>
  </si>
  <si>
    <t xml:space="preserve">Deputy CEAO's Decision</t>
  </si>
  <si>
    <t xml:space="preserve">Deputy CEAO is delegated to make the Project Notification Decision</t>
  </si>
  <si>
    <t xml:space="preserve">OutcomeNo</t>
  </si>
  <si>
    <t xml:space="preserve">ActionName</t>
  </si>
  <si>
    <t xml:space="preserve">ActionDescription</t>
  </si>
  <si>
    <t xml:space="preserve">AdditionalParams</t>
  </si>
  <si>
    <t xml:space="preserve">SetWorkDecisionMaker</t>
  </si>
  <si>
    <t xml:space="preserve">Set thisWorkDecisionMaker to currentMinisterEnvironment</t>
  </si>
  <si>
    <t xml:space="preserve">{"position_id": 8}</t>
  </si>
  <si>
    <t xml:space="preserve">Set thisWorkDecisionMaker to currentCEAO</t>
  </si>
  <si>
    <t xml:space="preserve">{"position_id": 1}</t>
  </si>
  <si>
    <t xml:space="preserve">AddEvent</t>
  </si>
  <si>
    <r>
      <rPr>
        <sz val="11"/>
        <color rgb="FF000000"/>
        <rFont val="Calibri"/>
        <family val="2"/>
        <charset val="1"/>
      </rPr>
      <t xml:space="preserve">addEvent "Notification Review | </t>
    </r>
    <r>
      <rPr>
        <sz val="11"/>
        <color rgb="FF000000"/>
        <rFont val="Calibri"/>
        <family val="0"/>
        <charset val="1"/>
      </rPr>
      <t xml:space="preserve">Decision: Project Notification</t>
    </r>
    <r>
      <rPr>
        <sz val="11"/>
        <color rgb="FF000000"/>
        <rFont val="Calibri"/>
        <family val="2"/>
        <charset val="1"/>
      </rPr>
      <t xml:space="preserve">" (copy of "</t>
    </r>
    <r>
      <rPr>
        <sz val="11"/>
        <color rgb="FF000000"/>
        <rFont val="Calibri"/>
        <family val="0"/>
        <charset val="1"/>
      </rPr>
      <t xml:space="preserve">Decision: Project Notification</t>
    </r>
    <r>
      <rPr>
        <sz val="11"/>
        <color rgb="FF000000"/>
        <rFont val="Calibri"/>
        <family val="2"/>
        <charset val="1"/>
      </rPr>
      <t xml:space="preserve">" )</t>
    </r>
  </si>
  <si>
    <t xml:space="preserve">{"phase_name":"Notification Review","work_type_id": 1, "ea_act_id": 3, "event_name": "Decision: Project Notification", "new_name": "Decision: Project Notification","use_phase_start":"True" }</t>
  </si>
  <si>
    <r>
      <rPr>
        <sz val="11"/>
        <color rgb="FF000000"/>
        <rFont val="Calibri"/>
        <family val="2"/>
        <charset val="1"/>
      </rPr>
      <t xml:space="preserve">addEvent "Notification Review | </t>
    </r>
    <r>
      <rPr>
        <sz val="11"/>
        <color rgb="FF000000"/>
        <rFont val="Calibri"/>
        <family val="0"/>
        <charset val="1"/>
      </rPr>
      <t xml:space="preserve">Notification Decision Announcement &amp; Tweet</t>
    </r>
    <r>
      <rPr>
        <sz val="11"/>
        <color rgb="FF000000"/>
        <rFont val="Calibri"/>
        <family val="2"/>
        <charset val="1"/>
      </rPr>
      <t xml:space="preserve">" (copy of "</t>
    </r>
    <r>
      <rPr>
        <sz val="11"/>
        <color rgb="FF000000"/>
        <rFont val="Calibri"/>
        <family val="0"/>
        <charset val="1"/>
      </rPr>
      <t xml:space="preserve">Notification Decision Announcement &amp; Tweet</t>
    </r>
    <r>
      <rPr>
        <sz val="11"/>
        <color rgb="FF000000"/>
        <rFont val="Calibri"/>
        <family val="2"/>
        <charset val="1"/>
      </rPr>
      <t xml:space="preserve">" )</t>
    </r>
  </si>
  <si>
    <t xml:space="preserve">{"phase_name":"Notification Review","work_type_id": 1, "ea_act_id": 3, "event_name": "Notification Decision Announcement &amp; Tweet", "new_name": "Notification Decision Announcement &amp; Tweet", "use_phase_start":"True" }</t>
  </si>
  <si>
    <r>
      <rPr>
        <sz val="11"/>
        <color rgb="FF000000"/>
        <rFont val="Calibri"/>
        <family val="2"/>
        <charset val="1"/>
      </rPr>
      <t xml:space="preserve">addEvent "Notification Review | </t>
    </r>
    <r>
      <rPr>
        <sz val="11"/>
        <color rgb="FF000000"/>
        <rFont val="Calibri"/>
        <family val="0"/>
        <charset val="1"/>
      </rPr>
      <t xml:space="preserve">Executive Calendar Notification</t>
    </r>
    <r>
      <rPr>
        <sz val="11"/>
        <color rgb="FF000000"/>
        <rFont val="Calibri"/>
        <family val="2"/>
        <charset val="1"/>
      </rPr>
      <t xml:space="preserve">" (copy of "</t>
    </r>
    <r>
      <rPr>
        <sz val="11"/>
        <color rgb="FF000000"/>
        <rFont val="Calibri"/>
        <family val="0"/>
        <charset val="1"/>
      </rPr>
      <t xml:space="preserve">Executive Calendar Notification</t>
    </r>
    <r>
      <rPr>
        <sz val="11"/>
        <color rgb="FF000000"/>
        <rFont val="Calibri"/>
        <family val="2"/>
        <charset val="1"/>
      </rPr>
      <t xml:space="preserve">" )</t>
    </r>
  </si>
  <si>
    <t xml:space="preserve">{"phase_name":"Notification Review","work_type_id": 1, "ea_act_id": 3, "event_name": "Executive Calendar Notification", "new_name": "Executive Calendar Notification","use_phase_start":"True" }</t>
  </si>
  <si>
    <t xml:space="preserve">SetEventsStatus</t>
  </si>
  <si>
    <t xml:space="preserve">Set "Notification Review | Project Notification Report referred to Decision Maker" to INACTIVE</t>
  </si>
  <si>
    <t xml:space="preserve">[{"phase_name":"Notification Review","work_type_id": 1, "ea_act_id": 3, "event_name": "Project Notification Report referred to Decision Maker", "is_active": false }]</t>
  </si>
  <si>
    <t xml:space="preserve">SetPhasesStatus</t>
  </si>
  <si>
    <t xml:space="preserve">Set finalPhase "Notification Decision" to INACTIVE</t>
  </si>
  <si>
    <t xml:space="preserve">[{"phase_name":"Notification Decision","work_type_id": 1, "ea_act_id": 3, "is_active": false }]</t>
  </si>
  <si>
    <t xml:space="preserve">Set all "future" PHASEs to INACTIVE</t>
  </si>
  <si>
    <t xml:space="preserve">{"all_future_phases": false}</t>
  </si>
  <si>
    <t xml:space="preserve">Set all "future" EVENTs in thisPhase to INACTIVE</t>
  </si>
  <si>
    <t xml:space="preserve">{"all_future_events": false}</t>
  </si>
  <si>
    <t xml:space="preserve">SetWorkState</t>
  </si>
  <si>
    <t xml:space="preserve">Set workState to WITHDRAWN</t>
  </si>
  <si>
    <t xml:space="preserve">{"work_state": "WITHDRAWN"}</t>
  </si>
  <si>
    <t xml:space="preserve">SetProjectStatus</t>
  </si>
  <si>
    <t xml:space="preserve">Set projectActive to FALSE</t>
  </si>
  <si>
    <t xml:space="preserve">{"is_active": false}</t>
  </si>
  <si>
    <t xml:space="preserve">SetEventDate</t>
  </si>
  <si>
    <t xml:space="preserve">Set "Notification Review | Project Notification Submission Received (Day Zero)" ANTICIPATED to thisWorkStartDate</t>
  </si>
  <si>
    <t xml:space="preserve">{"phase_name":"Notification Review","work_type_id": 1, "ea_act_id": 3, "event_name": "Project Notification Submission Received (Day Zero)", "start_at": 0 }</t>
  </si>
  <si>
    <t xml:space="preserve">Set thisPhase to INACTIVE</t>
  </si>
  <si>
    <t xml:space="preserve">[{"phase_name":"Notification Intake","work_type_id": 1, "ea_act_id": 3, "is_active": false }]</t>
  </si>
  <si>
    <t xml:space="preserve">LockWorkStartDate</t>
  </si>
  <si>
    <t xml:space="preserve">Set thisWorkStartDate to thisEventACTUAL</t>
  </si>
  <si>
    <t xml:space="preserve">{"start_date_locked": true}</t>
  </si>
  <si>
    <t xml:space="preserve">{"work_type_id": 1, "ea_act_id": 3, "event_name": "Decision: Project Notification", "new_name": "Decision: Project Notification", "use_phase_start":"True" }</t>
  </si>
  <si>
    <t xml:space="preserve">{"work_type_id": 1, "ea_act_id": 3, "event_name": "Notification Decision Announcement &amp; Tweet", "new_name": "Notification Decision Announcement &amp; Tweet","use_phase_start":"True" }</t>
  </si>
  <si>
    <t xml:space="preserve">{"work_type_id": 1, "ea_act_id": 3, "event_name": "Executive Calendar Notification", "new_name": "Executive Calendar Notification","use_phase_start":"True" }</t>
  </si>
  <si>
    <t xml:space="preserve">[{"work_type_id": 1, "ea_act_id": 3, "event_name": "Project Notification Report referred to Decision Maker", "is_active": false }]</t>
  </si>
  <si>
    <t xml:space="preserve">Set workState to TERMINATED</t>
  </si>
  <si>
    <t xml:space="preserve">{"work_state": "TERMINATED"}</t>
  </si>
  <si>
    <t xml:space="preserve">Set workState to COMPLETE</t>
  </si>
  <si>
    <t xml:space="preserve">{"work_state": "COMPLETED"}</t>
  </si>
  <si>
    <t xml:space="preserve">AddPhase</t>
  </si>
  <si>
    <t xml:space="preserve">addPhases "Revised Project Notification Development" (this is a renamed copy of "Notification Intake"), addPhase "Revised Notification Review" and set phaseLegislated to FALSE (this is a renamed copy of "Notification Review")</t>
  </si>
  <si>
    <t xml:space="preserve">[{"phase_name":"Notification Intake","work_type_id": 1, "ea_act_id": 3, "new_name": "Revised Project Notification Development", "legislated": false },{"phase_name":"Notification Review","work_type_id": 1, "ea_act_id": 3, "new_name": "Revised Notification Review", "legislated": false }, {"phase_name":"Notification Decision","work_type_id": 1, "ea_act_id": 3, "new_name": "Revised Notification Decision", "legislated": false }]</t>
  </si>
  <si>
    <t xml:space="preserve">Set "Revised Project Notification Development | Start of Revised PN Development" to thisEventACTUAL +1 (this is a renamed copy of "Start of Intake Phase (e.g. Initial Contact, Draft Sharing, or PN Submission)")</t>
  </si>
  <si>
    <t xml:space="preserve">{"phase_name":"Revised Project Notification Development","work_type_id": 1, "ea_act_id": 3, "event_name": "Start of Intake Phase (e.g. Initial Contact, Draft Sharing, or PN Submission)", "start_at": 1 }  </t>
  </si>
  <si>
    <t xml:space="preserve">SetEventName</t>
  </si>
  <si>
    <t xml:space="preserve">Rename "Start of Intake Phase (e.g. Initial Contact, Draft Sharing, or PN Submission)" to "Start of Revised PN Development"</t>
  </si>
  <si>
    <t xml:space="preserve">{"phase_name":"Revised Project Notification Development","work_type_id": 1, "ea_act_id": 3, "event_name": "Start of Intake Phase (e.g. Initial Contact, Draft Sharing, or PN Submission)", "new_name": "Start of Revised PN Development" }</t>
  </si>
  <si>
    <t xml:space="preserve">Rename "Last Day of Intake Phase (day before formal submission)" to "Last Day of Revised PN Development Phase (day before re-submission)"</t>
  </si>
  <si>
    <t xml:space="preserve">{"phase_name":"Revised Project Notification Development","work_type_id": 1, "ea_act_id": 3, "event_name": "Last Day of Intake Phase (day before formal submission)", "new_name": "Last Day of Revised PN Development Phase (day before re-submission)" }</t>
  </si>
  <si>
    <t xml:space="preserve">Set "Revised Project Notification Development | Meeting with Proponent" to INACTIVE</t>
  </si>
  <si>
    <t xml:space="preserve">[{"phase_name":"Revised Project Notification Development","work_type_id": 1, "ea_act_id": 3, "event_name": "Meeting with Proponent", "is_active": false }]</t>
  </si>
  <si>
    <t xml:space="preserve">Rename "Project Notification Submission Received (Day Zero)" to "Revised PN Submission Received"</t>
  </si>
  <si>
    <t xml:space="preserve">{"phase_name":"Revised Notification Review","work_type_id": 1, "ea_act_id": 3, "event_name": "Project Notification Submission Received (Day Zero)", "new_name": "Revised PN Submission Received" }</t>
  </si>
  <si>
    <t xml:space="preserve">Rename "Project Notification Report referred to Decision Maker" to "Revised PN Report referred to Decision Maker"</t>
  </si>
  <si>
    <t xml:space="preserve">{"phase_name":"Revised Notification Review","work_type_id": 1, "ea_act_id": 3, "event_name": "Project Notification Report referred to Decision Maker", "new_name": "Revised PN Report referred to Decision Maker" } </t>
  </si>
  <si>
    <t xml:space="preserve">Rename "Project Notification Report Received by Decision Maker" to  "Revised PN Report Received by Decision Maker"</t>
  </si>
  <si>
    <t xml:space="preserve">{"phase_name":"Revised Notification Decision","work_type_id": 1, "ea_act_id": 3, "event_name": "Project Notification Report Received by Decision Maker", "new_name": "Revised PN Report Received by Decision Maker" } </t>
  </si>
  <si>
    <t xml:space="preserve">AddEvent "Revised Notification Review | Comment Period" and set visibility to SUGGESTED (copy of Comment Period)</t>
  </si>
  <si>
    <t xml:space="preserve">{"phase_name":"Revised Notification Review","work_type_id": 1, "ea_act_id": 3, "event_name": "Comment Period","visibility": "SUGGESTED", "start_at": "14", "use_phase_start":"True" }</t>
  </si>
  <si>
    <t xml:space="preserve">AddEvent "Revised Notification Review | Delegation of PN Decision" and set visibility to SUGGESTED (renamed copy of Delegation of Decision)</t>
  </si>
  <si>
    <t xml:space="preserve">{"phase_name":"Revised Notification Review","work_type_id": 1, "ea_act_id": 3, "event_name": "Delegation of PN Decision", "new_name": "Delegation of PN Decision","visibility": "SUGGESTED", "start_at": "7", "use_phase_start":"True" }</t>
  </si>
  <si>
    <t xml:space="preserve">{"phase_name":"Revised Notification Review","work_type_id": 1, "ea_act_id": 3, "event_name": "Comment Period","visibility": "SUGGESTED", "start_at": "14", "use_phase_start":"True"}</t>
  </si>
  <si>
    <t xml:space="preserve">EA Act</t>
  </si>
  <si>
    <t xml:space="preserve">Event Type</t>
  </si>
  <si>
    <t xml:space="preserve">Event Category</t>
  </si>
  <si>
    <t xml:space="preserve">Event Position</t>
  </si>
  <si>
    <t xml:space="preserve">Multiple Days</t>
  </si>
  <si>
    <t xml:space="preserve">Action Name</t>
  </si>
  <si>
    <t xml:space="preserve">Generic</t>
  </si>
  <si>
    <t xml:space="preserve">AllEventsDeactivated</t>
  </si>
  <si>
    <t xml:space="preserve">Minister's Designation</t>
  </si>
  <si>
    <t xml:space="preserve">EA Act (2002)</t>
  </si>
  <si>
    <t xml:space="preserve">AllEventsDeleted</t>
  </si>
  <si>
    <t xml:space="preserve">CEAO's Designation</t>
  </si>
  <si>
    <t xml:space="preserve">EA Act (1996)</t>
  </si>
  <si>
    <t xml:space="preserve">Notification</t>
  </si>
  <si>
    <t xml:space="preserve">CloseEverything</t>
  </si>
  <si>
    <t xml:space="preserve">ChangePhaseEndEvent</t>
  </si>
  <si>
    <t xml:space="preserve">EAC Assessment</t>
  </si>
  <si>
    <t xml:space="preserve">Order</t>
  </si>
  <si>
    <t xml:space="preserve">Finance</t>
  </si>
  <si>
    <t xml:space="preserve">CloseWork</t>
  </si>
  <si>
    <t xml:space="preserve">CreateWork</t>
  </si>
  <si>
    <t xml:space="preserve">Exemption Request</t>
  </si>
  <si>
    <t xml:space="preserve">CompleteCurrentPhase</t>
  </si>
  <si>
    <t xml:space="preserve">Dispute Resolution</t>
  </si>
  <si>
    <t xml:space="preserve">CreateNewWork</t>
  </si>
  <si>
    <t xml:space="preserve">EAC/Order Amendment</t>
  </si>
  <si>
    <t xml:space="preserve">Request</t>
  </si>
  <si>
    <t xml:space="preserve">Suspension</t>
  </si>
  <si>
    <t xml:space="preserve">DisableWorkStartDate</t>
  </si>
  <si>
    <t xml:space="preserve">SetEventStatus</t>
  </si>
  <si>
    <t xml:space="preserve">Document Review</t>
  </si>
  <si>
    <t xml:space="preserve">DuplicatePhase</t>
  </si>
  <si>
    <t xml:space="preserve">SetFederalInvolvement</t>
  </si>
  <si>
    <t xml:space="preserve">EAC Extension</t>
  </si>
  <si>
    <t xml:space="preserve">SetPhaseStatus</t>
  </si>
  <si>
    <t xml:space="preserve">Substantial Start Decision</t>
  </si>
  <si>
    <t xml:space="preserve">SetProjectState</t>
  </si>
  <si>
    <t xml:space="preserve">EAC/Order Transfer</t>
  </si>
  <si>
    <t xml:space="preserve">EAC/Order Suspension</t>
  </si>
  <si>
    <t xml:space="preserve">EAC/Order Cancellation</t>
  </si>
  <si>
    <t xml:space="preserve">Time Limit Suspension</t>
  </si>
  <si>
    <t xml:space="preserve">Time Limit Resumption</t>
  </si>
  <si>
    <t xml:space="preserve">EAC Ministers</t>
  </si>
  <si>
    <t xml:space="preserve">ADM</t>
  </si>
  <si>
    <t xml:space="preserve">Reviewer</t>
  </si>
  <si>
    <t xml:space="preserve">Federal</t>
  </si>
  <si>
    <t xml:space="preserve">Financial</t>
  </si>
  <si>
    <t xml:space="preserve">Work</t>
  </si>
  <si>
    <t xml:space="preserve">Capacity Funding</t>
  </si>
  <si>
    <t xml:space="preserve">Fee Order</t>
  </si>
  <si>
    <t xml:space="preserve">Penalties</t>
  </si>
  <si>
    <t xml:space="preserve">Administrative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</si>
</sst>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2E75B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0"/>
      <charset val="1"/>
    </font>
    <font>
      <b val="true"/>
      <sz val="11"/>
      <color rgb="FF2F75B5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E2F0D9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rgb="FFFBE5D6"/>
        <bgColor rgb="FFFFF2CC"/>
      </patternFill>
    </fill>
    <fill>
      <patternFill patternType="solid">
        <fgColor rgb="FFFFF2CC"/>
        <bgColor rgb="FFFBE5D6"/>
      </patternFill>
    </fill>
    <fill>
      <patternFill patternType="solid">
        <fgColor rgb="FFFFF3F3"/>
        <bgColor rgb="FFF2F2F2"/>
      </patternFill>
    </fill>
    <fill>
      <patternFill patternType="solid">
        <fgColor rgb="FFFFCCCC"/>
        <bgColor rgb="FFFBE5D6"/>
      </patternFill>
    </fill>
    <fill>
      <patternFill patternType="solid">
        <fgColor rgb="FFCCCCFF"/>
        <bgColor rgb="FFC0C0C0"/>
      </patternFill>
    </fill>
    <fill>
      <patternFill patternType="solid">
        <fgColor rgb="FFF2F2F2"/>
        <bgColor rgb="FFFFF3F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medium">
        <color rgb="FFFF0000"/>
      </top>
      <bottom/>
      <diagonal/>
    </border>
    <border diagonalUp="false" diagonalDown="false">
      <left/>
      <right/>
      <top/>
      <bottom style="medium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00FFFFFF"/>
        </patternFill>
      </fill>
    </dxf>
    <dxf>
      <fill>
        <patternFill patternType="solid">
          <fgColor rgb="FFCCCCCC"/>
          <bgColor rgb="FF272727"/>
        </patternFill>
      </fill>
    </dxf>
    <dxf>
      <fill>
        <patternFill patternType="solid">
          <fgColor rgb="FF2E75B6"/>
        </patternFill>
      </fill>
    </dxf>
    <dxf>
      <fill>
        <patternFill patternType="solid">
          <fgColor rgb="FF00B050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CCCCFF"/>
        </patternFill>
      </fill>
    </dxf>
    <dxf>
      <fill>
        <patternFill patternType="solid">
          <fgColor rgb="FFFF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3F3"/>
        </patternFill>
      </fill>
    </dxf>
    <dxf>
      <fill>
        <patternFill patternType="solid">
          <fgColor rgb="FFFBE5D6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FFFF"/>
        </patternFill>
      </fill>
    </dxf>
    <dxf>
      <font>
        <b val="1"/>
        <i val="0"/>
        <color rgb="FFFFFFFF"/>
      </font>
      <fill>
        <patternFill>
          <bgColor rgb="FFFF0000"/>
        </patternFill>
      </fill>
    </dxf>
    <dxf>
      <font>
        <b val="1"/>
        <i val="0"/>
        <color rgb="FFFFFFFF"/>
      </font>
      <fill>
        <patternFill>
          <bgColor rgb="FF00B050"/>
        </patternFill>
      </fill>
    </dxf>
    <dxf>
      <fill>
        <patternFill patternType="solid">
          <fgColor rgb="FF2F75B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2F75B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3F3"/>
      <rgbColor rgb="FFE2F0D9"/>
      <rgbColor rgb="FFFBE5D6"/>
      <rgbColor rgb="FF99CCFF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E7" activeCellId="0" sqref="E7"/>
    </sheetView>
  </sheetViews>
  <sheetFormatPr defaultColWidth="8.875" defaultRowHeight="14.4" zeroHeight="false" outlineLevelRow="0" outlineLevelCol="0"/>
  <cols>
    <col collapsed="false" customWidth="true" hidden="false" outlineLevel="0" max="1" min="1" style="1" width="6.66"/>
    <col collapsed="false" customWidth="true" hidden="false" outlineLevel="0" max="2" min="2" style="2" width="50.67"/>
    <col collapsed="false" customWidth="true" hidden="false" outlineLevel="0" max="3" min="3" style="2" width="24.66"/>
    <col collapsed="false" customWidth="true" hidden="false" outlineLevel="0" max="5" min="4" style="2" width="14.66"/>
    <col collapsed="false" customWidth="true" hidden="false" outlineLevel="0" max="8" min="6" style="2" width="12.66"/>
    <col collapsed="false" customWidth="true" hidden="false" outlineLevel="0" max="9" min="9" style="2" width="10.66"/>
    <col collapsed="false" customWidth="false" hidden="false" outlineLevel="0" max="1024" min="10" style="2" width="8.87"/>
  </cols>
  <sheetData>
    <row r="1" s="3" customFormat="true" ht="14.4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customFormat="false" ht="14.4" hidden="false" customHeight="false" outlineLevel="0" collapsed="false">
      <c r="A2" s="1" t="n">
        <v>1</v>
      </c>
      <c r="B2" s="4" t="s">
        <v>9</v>
      </c>
      <c r="C2" s="5" t="s">
        <v>10</v>
      </c>
      <c r="D2" s="5" t="s">
        <v>11</v>
      </c>
      <c r="E2" s="1" t="n">
        <v>21</v>
      </c>
      <c r="F2" s="6" t="n">
        <f aca="false">FALSE()</f>
        <v>0</v>
      </c>
      <c r="G2" s="1" t="s">
        <v>12</v>
      </c>
      <c r="H2" s="1" t="s">
        <v>13</v>
      </c>
      <c r="I2" s="1" t="n">
        <v>1</v>
      </c>
    </row>
    <row r="3" customFormat="false" ht="14.4" hidden="false" customHeight="false" outlineLevel="0" collapsed="false">
      <c r="A3" s="1" t="n">
        <v>2</v>
      </c>
      <c r="B3" s="2" t="s">
        <v>14</v>
      </c>
      <c r="C3" s="5" t="s">
        <v>10</v>
      </c>
      <c r="D3" s="5" t="s">
        <v>11</v>
      </c>
      <c r="E3" s="1" t="n">
        <v>60</v>
      </c>
      <c r="F3" s="6" t="n">
        <f aca="false">TRUE()</f>
        <v>1</v>
      </c>
      <c r="G3" s="1" t="s">
        <v>12</v>
      </c>
      <c r="H3" s="1" t="s">
        <v>13</v>
      </c>
      <c r="I3" s="1" t="n">
        <v>2</v>
      </c>
    </row>
    <row r="4" customFormat="false" ht="14.4" hidden="false" customHeight="false" outlineLevel="0" collapsed="false">
      <c r="A4" s="1" t="n">
        <v>3</v>
      </c>
      <c r="B4" s="2" t="s">
        <v>15</v>
      </c>
      <c r="C4" s="5" t="s">
        <v>10</v>
      </c>
      <c r="D4" s="5" t="s">
        <v>11</v>
      </c>
      <c r="E4" s="1" t="n">
        <v>4</v>
      </c>
      <c r="F4" s="6" t="n">
        <f aca="false">TRUE()</f>
        <v>1</v>
      </c>
      <c r="G4" s="1" t="s">
        <v>12</v>
      </c>
      <c r="H4" s="1" t="s">
        <v>13</v>
      </c>
      <c r="I4" s="1" t="n">
        <v>3</v>
      </c>
    </row>
  </sheetData>
  <dataValidations count="3">
    <dataValidation allowBlank="true" errorStyle="stop" operator="between" showDropDown="false" showErrorMessage="true" showInputMessage="true" sqref="C2:C4" type="list">
      <formula1>Lookups!$B$3:$B$16</formula1>
      <formula2>0</formula2>
    </dataValidation>
    <dataValidation allowBlank="true" errorStyle="stop" operator="between" showDropDown="false" showErrorMessage="true" showInputMessage="true" sqref="D2:D4" type="list">
      <formula1>Lookups!$D$3:$D$5</formula1>
      <formula2>0</formula2>
    </dataValidation>
    <dataValidation allowBlank="true" errorStyle="stop" operator="between" showDropDown="false" showErrorMessage="true" showInputMessage="true" sqref="F2:F4" type="list">
      <formula1>Lookups!$F$3:$F$4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J45" activeCellId="0" sqref="J45"/>
    </sheetView>
  </sheetViews>
  <sheetFormatPr defaultColWidth="8.875" defaultRowHeight="14.4" zeroHeight="false" outlineLevelRow="0" outlineLevelCol="0"/>
  <cols>
    <col collapsed="false" customWidth="true" hidden="false" outlineLevel="0" max="1" min="1" style="1" width="6.66"/>
    <col collapsed="false" customWidth="true" hidden="false" outlineLevel="0" max="2" min="2" style="1" width="7.28"/>
    <col collapsed="false" customWidth="true" hidden="false" outlineLevel="0" max="3" min="3" style="1" width="5.95"/>
    <col collapsed="false" customWidth="true" hidden="false" outlineLevel="0" max="4" min="4" style="2" width="51.14"/>
    <col collapsed="false" customWidth="true" hidden="false" outlineLevel="0" max="5" min="5" style="2" width="17.32"/>
    <col collapsed="false" customWidth="true" hidden="false" outlineLevel="0" max="6" min="6" style="2" width="13.12"/>
    <col collapsed="false" customWidth="true" hidden="false" outlineLevel="0" max="7" min="7" style="2" width="14.66"/>
    <col collapsed="false" customWidth="true" hidden="false" outlineLevel="0" max="8" min="8" style="2" width="9.81"/>
    <col collapsed="false" customWidth="true" hidden="false" outlineLevel="0" max="9" min="9" style="2" width="3.53"/>
    <col collapsed="false" customWidth="true" hidden="false" outlineLevel="0" max="10" min="10" style="2" width="11.37"/>
    <col collapsed="false" customWidth="true" hidden="false" outlineLevel="0" max="12" min="11" style="2" width="14.66"/>
    <col collapsed="false" customWidth="true" hidden="false" outlineLevel="0" max="13" min="13" style="2" width="10.66"/>
    <col collapsed="false" customWidth="false" hidden="false" outlineLevel="0" max="1024" min="14" style="2" width="8.87"/>
  </cols>
  <sheetData>
    <row r="1" s="3" customFormat="true" ht="14.4" hidden="false" customHeight="false" outlineLevel="0" collapsed="false">
      <c r="A1" s="3" t="s">
        <v>0</v>
      </c>
      <c r="B1" s="3" t="s">
        <v>16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4</v>
      </c>
      <c r="L1" s="3" t="s">
        <v>7</v>
      </c>
      <c r="M1" s="3" t="s">
        <v>8</v>
      </c>
    </row>
    <row r="2" customFormat="false" ht="14.4" hidden="false" customHeight="false" outlineLevel="0" collapsed="false">
      <c r="A2" s="1" t="n">
        <v>1</v>
      </c>
      <c r="C2" s="7" t="n">
        <v>1</v>
      </c>
      <c r="D2" s="8" t="s">
        <v>25</v>
      </c>
      <c r="E2" s="9" t="str">
        <f aca="false">IF((C2=""),"",VLOOKUP(C2,Phases!$A$2:$B$4,2,0))</f>
        <v>Notification Intake</v>
      </c>
      <c r="F2" s="5" t="s">
        <v>26</v>
      </c>
      <c r="G2" s="5" t="s">
        <v>27</v>
      </c>
      <c r="H2" s="5" t="s">
        <v>28</v>
      </c>
      <c r="I2" s="10" t="n">
        <f aca="false">FALSE()</f>
        <v>0</v>
      </c>
      <c r="J2" s="2" t="n">
        <v>0</v>
      </c>
      <c r="K2" s="1" t="n">
        <v>0</v>
      </c>
      <c r="L2" s="11" t="s">
        <v>29</v>
      </c>
      <c r="M2" s="1" t="n">
        <v>1</v>
      </c>
    </row>
    <row r="3" customFormat="false" ht="14.4" hidden="false" customHeight="false" outlineLevel="0" collapsed="false">
      <c r="A3" s="1" t="n">
        <v>2</v>
      </c>
      <c r="B3" s="1" t="n">
        <v>1</v>
      </c>
      <c r="C3" s="12" t="n">
        <v>1</v>
      </c>
      <c r="D3" s="13" t="s">
        <v>30</v>
      </c>
      <c r="E3" s="9" t="str">
        <f aca="false">IF((C3=""),"",VLOOKUP(C3,Phases!$A$2:$B$4,2,0))</f>
        <v>Notification Intake</v>
      </c>
      <c r="F3" s="5" t="s">
        <v>31</v>
      </c>
      <c r="G3" s="5" t="s">
        <v>32</v>
      </c>
      <c r="H3" s="5" t="s">
        <v>33</v>
      </c>
      <c r="I3" s="10" t="n">
        <f aca="false">FALSE()</f>
        <v>0</v>
      </c>
      <c r="J3" s="2" t="n">
        <v>0</v>
      </c>
      <c r="K3" s="1" t="n">
        <v>0</v>
      </c>
      <c r="L3" s="11" t="s">
        <v>29</v>
      </c>
      <c r="M3" s="1" t="n">
        <v>2</v>
      </c>
    </row>
    <row r="4" customFormat="false" ht="14.9" hidden="false" customHeight="false" outlineLevel="0" collapsed="false">
      <c r="A4" s="1" t="n">
        <v>3</v>
      </c>
      <c r="C4" s="12" t="n">
        <v>1</v>
      </c>
      <c r="D4" s="14" t="s">
        <v>34</v>
      </c>
      <c r="E4" s="9" t="str">
        <f aca="false">IF((C4=""),"",VLOOKUP(C4,Phases!$A$2:$B$4,2,0))</f>
        <v>Notification Intake</v>
      </c>
      <c r="F4" s="5" t="s">
        <v>35</v>
      </c>
      <c r="G4" s="5" t="s">
        <v>27</v>
      </c>
      <c r="H4" s="5" t="s">
        <v>33</v>
      </c>
      <c r="I4" s="10" t="n">
        <f aca="false">FALSE()</f>
        <v>0</v>
      </c>
      <c r="J4" s="2" t="n">
        <v>7</v>
      </c>
      <c r="K4" s="1" t="n">
        <v>0</v>
      </c>
      <c r="L4" s="11" t="s">
        <v>36</v>
      </c>
      <c r="M4" s="1" t="n">
        <v>3</v>
      </c>
    </row>
    <row r="5" customFormat="false" ht="14.4" hidden="false" customHeight="false" outlineLevel="0" collapsed="false">
      <c r="A5" s="1" t="n">
        <v>4</v>
      </c>
      <c r="C5" s="12" t="n">
        <v>1</v>
      </c>
      <c r="D5" s="2" t="s">
        <v>37</v>
      </c>
      <c r="E5" s="9" t="str">
        <f aca="false">IF((C5=""),"",VLOOKUP(C5,Phases!$A$2:$B$4,2,0))</f>
        <v>Notification Intake</v>
      </c>
      <c r="F5" s="5" t="s">
        <v>38</v>
      </c>
      <c r="G5" s="5" t="s">
        <v>27</v>
      </c>
      <c r="H5" s="5" t="s">
        <v>33</v>
      </c>
      <c r="I5" s="10" t="n">
        <f aca="false">FALSE()</f>
        <v>0</v>
      </c>
      <c r="J5" s="2" t="n">
        <v>0</v>
      </c>
      <c r="K5" s="1" t="n">
        <v>0</v>
      </c>
      <c r="L5" s="11" t="s">
        <v>39</v>
      </c>
      <c r="M5" s="1" t="n">
        <v>4</v>
      </c>
    </row>
    <row r="6" customFormat="false" ht="14.4" hidden="false" customHeight="false" outlineLevel="0" collapsed="false">
      <c r="A6" s="1" t="n">
        <v>5</v>
      </c>
      <c r="C6" s="12" t="n">
        <v>1</v>
      </c>
      <c r="D6" s="14" t="s">
        <v>40</v>
      </c>
      <c r="E6" s="9" t="str">
        <f aca="false">IF((C6=""),"",VLOOKUP(C6,Phases!$A$2:$B$4,2,0))</f>
        <v>Notification Intake</v>
      </c>
      <c r="F6" s="5" t="s">
        <v>38</v>
      </c>
      <c r="G6" s="5" t="s">
        <v>27</v>
      </c>
      <c r="H6" s="5" t="s">
        <v>33</v>
      </c>
      <c r="I6" s="10" t="n">
        <f aca="false">FALSE()</f>
        <v>0</v>
      </c>
      <c r="J6" s="2" t="n">
        <v>0</v>
      </c>
      <c r="K6" s="1" t="n">
        <v>0</v>
      </c>
      <c r="L6" s="11" t="s">
        <v>39</v>
      </c>
      <c r="M6" s="1" t="n">
        <v>5</v>
      </c>
    </row>
    <row r="7" customFormat="false" ht="14.4" hidden="false" customHeight="false" outlineLevel="0" collapsed="false">
      <c r="A7" s="1" t="n">
        <v>6</v>
      </c>
      <c r="B7" s="1" t="n">
        <v>5</v>
      </c>
      <c r="C7" s="12" t="n">
        <v>1</v>
      </c>
      <c r="D7" s="15" t="s">
        <v>41</v>
      </c>
      <c r="E7" s="9" t="str">
        <f aca="false">IF((C7=""),"",VLOOKUP(C7,Phases!$A$2:$B$4,2,0))</f>
        <v>Notification Intake</v>
      </c>
      <c r="F7" s="5" t="s">
        <v>42</v>
      </c>
      <c r="G7" s="5" t="s">
        <v>43</v>
      </c>
      <c r="H7" s="5" t="s">
        <v>33</v>
      </c>
      <c r="I7" s="10" t="n">
        <f aca="false">FALSE()</f>
        <v>0</v>
      </c>
      <c r="J7" s="2" t="n">
        <v>7</v>
      </c>
      <c r="K7" s="1" t="n">
        <v>0</v>
      </c>
      <c r="L7" s="11" t="s">
        <v>39</v>
      </c>
      <c r="M7" s="1" t="n">
        <v>6</v>
      </c>
    </row>
    <row r="8" customFormat="false" ht="14.4" hidden="false" customHeight="false" outlineLevel="0" collapsed="false">
      <c r="A8" s="1" t="n">
        <v>7</v>
      </c>
      <c r="C8" s="12" t="n">
        <v>1</v>
      </c>
      <c r="D8" s="16" t="s">
        <v>44</v>
      </c>
      <c r="E8" s="9" t="str">
        <f aca="false">IF((C8=""),"",VLOOKUP(C8,Phases!$A$2:$B$4,2,0))</f>
        <v>Notification Intake</v>
      </c>
      <c r="F8" s="5" t="s">
        <v>45</v>
      </c>
      <c r="G8" s="5" t="s">
        <v>43</v>
      </c>
      <c r="H8" s="5" t="s">
        <v>33</v>
      </c>
      <c r="I8" s="10" t="n">
        <f aca="false">FALSE()</f>
        <v>0</v>
      </c>
      <c r="J8" s="2" t="n">
        <v>7</v>
      </c>
      <c r="K8" s="1" t="n">
        <v>0</v>
      </c>
      <c r="L8" s="11" t="s">
        <v>39</v>
      </c>
      <c r="M8" s="1" t="n">
        <v>7</v>
      </c>
    </row>
    <row r="9" customFormat="false" ht="14.4" hidden="false" customHeight="false" outlineLevel="0" collapsed="false">
      <c r="A9" s="1" t="n">
        <v>8</v>
      </c>
      <c r="C9" s="12" t="n">
        <v>1</v>
      </c>
      <c r="D9" s="15" t="s">
        <v>46</v>
      </c>
      <c r="E9" s="9" t="str">
        <f aca="false">IF((C9=""),"",VLOOKUP(C9,Phases!$A$2:$B$4,2,0))</f>
        <v>Notification Intake</v>
      </c>
      <c r="F9" s="5" t="s">
        <v>47</v>
      </c>
      <c r="G9" s="5" t="s">
        <v>43</v>
      </c>
      <c r="H9" s="5" t="s">
        <v>33</v>
      </c>
      <c r="I9" s="10" t="n">
        <f aca="false">FALSE()</f>
        <v>0</v>
      </c>
      <c r="J9" s="2" t="n">
        <v>0</v>
      </c>
      <c r="K9" s="1" t="n">
        <v>0</v>
      </c>
      <c r="L9" s="11" t="s">
        <v>39</v>
      </c>
      <c r="M9" s="1" t="n">
        <v>8</v>
      </c>
    </row>
    <row r="10" customFormat="false" ht="14.4" hidden="false" customHeight="false" outlineLevel="0" collapsed="false">
      <c r="A10" s="1" t="n">
        <v>9</v>
      </c>
      <c r="C10" s="12" t="n">
        <v>1</v>
      </c>
      <c r="D10" s="15" t="s">
        <v>48</v>
      </c>
      <c r="E10" s="9" t="str">
        <f aca="false">IF((C10=""),"",VLOOKUP(C10,Phases!$A$2:$B$4,2,0))</f>
        <v>Notification Intake</v>
      </c>
      <c r="F10" s="5" t="s">
        <v>42</v>
      </c>
      <c r="G10" s="5" t="s">
        <v>43</v>
      </c>
      <c r="H10" s="5" t="s">
        <v>33</v>
      </c>
      <c r="I10" s="10" t="n">
        <f aca="false">FALSE()</f>
        <v>0</v>
      </c>
      <c r="J10" s="2" t="n">
        <v>0</v>
      </c>
      <c r="K10" s="1" t="n">
        <v>0</v>
      </c>
      <c r="L10" s="11" t="s">
        <v>39</v>
      </c>
      <c r="M10" s="1" t="n">
        <v>9</v>
      </c>
    </row>
    <row r="11" customFormat="false" ht="14.4" hidden="false" customHeight="false" outlineLevel="0" collapsed="false">
      <c r="A11" s="1" t="n">
        <v>10</v>
      </c>
      <c r="C11" s="12" t="n">
        <v>1</v>
      </c>
      <c r="D11" s="2" t="s">
        <v>49</v>
      </c>
      <c r="E11" s="9" t="str">
        <f aca="false">IF((C11=""),"",VLOOKUP(C11,Phases!$A$2:$B$4,2,0))</f>
        <v>Notification Intake</v>
      </c>
      <c r="F11" s="5" t="s">
        <v>49</v>
      </c>
      <c r="G11" s="5" t="s">
        <v>27</v>
      </c>
      <c r="H11" s="5" t="s">
        <v>33</v>
      </c>
      <c r="I11" s="10" t="n">
        <f aca="false">FALSE()</f>
        <v>0</v>
      </c>
      <c r="J11" s="2" t="n">
        <v>0</v>
      </c>
      <c r="K11" s="1" t="n">
        <v>0</v>
      </c>
      <c r="L11" s="11" t="s">
        <v>39</v>
      </c>
      <c r="M11" s="1" t="n">
        <v>10</v>
      </c>
    </row>
    <row r="12" customFormat="false" ht="14.4" hidden="false" customHeight="false" outlineLevel="0" collapsed="false">
      <c r="A12" s="1" t="n">
        <v>11</v>
      </c>
      <c r="C12" s="12" t="n">
        <v>1</v>
      </c>
      <c r="D12" s="17" t="s">
        <v>50</v>
      </c>
      <c r="E12" s="9" t="str">
        <f aca="false">IF((C12=""),"",VLOOKUP(C12,Phases!$A$2:$B$4,2,0))</f>
        <v>Notification Intake</v>
      </c>
      <c r="F12" s="5" t="s">
        <v>26</v>
      </c>
      <c r="G12" s="5" t="s">
        <v>27</v>
      </c>
      <c r="H12" s="5" t="s">
        <v>51</v>
      </c>
      <c r="I12" s="10" t="n">
        <f aca="false">FALSE()</f>
        <v>0</v>
      </c>
      <c r="J12" s="2" t="n">
        <v>21</v>
      </c>
      <c r="K12" s="1" t="n">
        <v>0</v>
      </c>
      <c r="L12" s="11" t="s">
        <v>29</v>
      </c>
      <c r="M12" s="1" t="n">
        <v>11</v>
      </c>
    </row>
    <row r="13" customFormat="false" ht="14.4" hidden="false" customHeight="false" outlineLevel="0" collapsed="false">
      <c r="A13" s="1" t="n">
        <v>12</v>
      </c>
      <c r="C13" s="12" t="n">
        <v>2</v>
      </c>
      <c r="D13" s="5" t="s">
        <v>52</v>
      </c>
      <c r="E13" s="9" t="str">
        <f aca="false">IF((C13=""),"",VLOOKUP(C13,Phases!$A$2:$B$4,2,0))</f>
        <v>Notification Review</v>
      </c>
      <c r="F13" s="5" t="s">
        <v>38</v>
      </c>
      <c r="G13" s="5" t="s">
        <v>27</v>
      </c>
      <c r="H13" s="5" t="s">
        <v>28</v>
      </c>
      <c r="I13" s="10" t="n">
        <f aca="false">FALSE()</f>
        <v>0</v>
      </c>
      <c r="J13" s="2" t="n">
        <v>0</v>
      </c>
      <c r="K13" s="1" t="n">
        <v>0</v>
      </c>
      <c r="L13" s="11" t="s">
        <v>29</v>
      </c>
      <c r="M13" s="1" t="n">
        <v>12</v>
      </c>
    </row>
    <row r="14" customFormat="false" ht="14.4" hidden="false" customHeight="false" outlineLevel="0" collapsed="false">
      <c r="A14" s="1" t="n">
        <v>13</v>
      </c>
      <c r="B14" s="1" t="n">
        <v>12</v>
      </c>
      <c r="C14" s="12" t="n">
        <v>2</v>
      </c>
      <c r="D14" s="13" t="s">
        <v>30</v>
      </c>
      <c r="E14" s="9" t="str">
        <f aca="false">IF((C14=""),"",VLOOKUP(C14,Phases!$A$2:$B$4,2,0))</f>
        <v>Notification Review</v>
      </c>
      <c r="F14" s="5" t="s">
        <v>31</v>
      </c>
      <c r="G14" s="5" t="s">
        <v>32</v>
      </c>
      <c r="H14" s="5" t="s">
        <v>33</v>
      </c>
      <c r="I14" s="10" t="n">
        <f aca="false">FALSE()</f>
        <v>0</v>
      </c>
      <c r="J14" s="2" t="n">
        <v>0</v>
      </c>
      <c r="K14" s="1" t="n">
        <v>0</v>
      </c>
      <c r="L14" s="11" t="s">
        <v>29</v>
      </c>
      <c r="M14" s="1" t="n">
        <v>13</v>
      </c>
    </row>
    <row r="15" customFormat="false" ht="14.4" hidden="false" customHeight="false" outlineLevel="0" collapsed="false">
      <c r="A15" s="1" t="n">
        <v>14</v>
      </c>
      <c r="C15" s="12" t="n">
        <v>2</v>
      </c>
      <c r="D15" s="16" t="s">
        <v>44</v>
      </c>
      <c r="E15" s="9" t="str">
        <f aca="false">IF((C15=""),"",VLOOKUP(C15,Phases!$A$2:$B$4,2,0))</f>
        <v>Notification Review</v>
      </c>
      <c r="F15" s="5" t="s">
        <v>45</v>
      </c>
      <c r="G15" s="5" t="s">
        <v>43</v>
      </c>
      <c r="H15" s="5" t="s">
        <v>33</v>
      </c>
      <c r="I15" s="10" t="n">
        <f aca="false">FALSE()</f>
        <v>0</v>
      </c>
      <c r="J15" s="2" t="n">
        <v>7</v>
      </c>
      <c r="K15" s="1" t="n">
        <v>0</v>
      </c>
      <c r="L15" s="11" t="s">
        <v>39</v>
      </c>
      <c r="M15" s="1" t="n">
        <v>14</v>
      </c>
    </row>
    <row r="16" customFormat="false" ht="14.9" hidden="false" customHeight="false" outlineLevel="0" collapsed="false">
      <c r="A16" s="1" t="n">
        <v>15</v>
      </c>
      <c r="C16" s="12" t="n">
        <v>2</v>
      </c>
      <c r="D16" s="2" t="s">
        <v>53</v>
      </c>
      <c r="E16" s="9" t="str">
        <f aca="false">IF((C16=""),"",VLOOKUP(C16,Phases!$A$2:$B$4,2,0))</f>
        <v>Notification Review</v>
      </c>
      <c r="F16" s="5" t="s">
        <v>53</v>
      </c>
      <c r="G16" s="5" t="s">
        <v>54</v>
      </c>
      <c r="H16" s="5" t="s">
        <v>33</v>
      </c>
      <c r="I16" s="10" t="n">
        <f aca="false">TRUE()</f>
        <v>1</v>
      </c>
      <c r="J16" s="2" t="n">
        <v>14</v>
      </c>
      <c r="K16" s="1" t="n">
        <v>15</v>
      </c>
      <c r="L16" s="11" t="s">
        <v>39</v>
      </c>
      <c r="M16" s="1" t="n">
        <v>15</v>
      </c>
    </row>
    <row r="17" customFormat="false" ht="14.4" hidden="false" customHeight="false" outlineLevel="0" collapsed="false">
      <c r="A17" s="1" t="n">
        <v>16</v>
      </c>
      <c r="B17" s="1" t="n">
        <v>15</v>
      </c>
      <c r="C17" s="12" t="n">
        <v>2</v>
      </c>
      <c r="D17" s="18" t="s">
        <v>55</v>
      </c>
      <c r="E17" s="9" t="str">
        <f aca="false">IF((C17=""),"",VLOOKUP(C17,Phases!$A$2:$B$4,2,0))</f>
        <v>Notification Review</v>
      </c>
      <c r="F17" s="5" t="s">
        <v>56</v>
      </c>
      <c r="G17" s="5" t="s">
        <v>32</v>
      </c>
      <c r="H17" s="5" t="s">
        <v>33</v>
      </c>
      <c r="I17" s="10" t="n">
        <f aca="false">FALSE()</f>
        <v>0</v>
      </c>
      <c r="J17" s="2" t="n">
        <v>-7</v>
      </c>
      <c r="K17" s="1" t="n">
        <v>0</v>
      </c>
      <c r="L17" s="11" t="s">
        <v>39</v>
      </c>
      <c r="M17" s="1" t="n">
        <v>16</v>
      </c>
    </row>
    <row r="18" customFormat="false" ht="14.4" hidden="false" customHeight="false" outlineLevel="0" collapsed="false">
      <c r="A18" s="1" t="n">
        <v>17</v>
      </c>
      <c r="B18" s="1" t="n">
        <v>15</v>
      </c>
      <c r="C18" s="12" t="n">
        <v>2</v>
      </c>
      <c r="D18" s="18" t="s">
        <v>57</v>
      </c>
      <c r="E18" s="9" t="str">
        <f aca="false">IF((C18=""),"",VLOOKUP(C18,Phases!$A$2:$B$4,2,0))</f>
        <v>Notification Review</v>
      </c>
      <c r="F18" s="5" t="s">
        <v>56</v>
      </c>
      <c r="G18" s="5" t="s">
        <v>32</v>
      </c>
      <c r="H18" s="5" t="s">
        <v>33</v>
      </c>
      <c r="I18" s="10" t="n">
        <f aca="false">FALSE()</f>
        <v>0</v>
      </c>
      <c r="J18" s="2" t="n">
        <v>0</v>
      </c>
      <c r="K18" s="1" t="n">
        <v>0</v>
      </c>
      <c r="L18" s="11" t="s">
        <v>39</v>
      </c>
      <c r="M18" s="1" t="n">
        <v>17</v>
      </c>
    </row>
    <row r="19" customFormat="false" ht="14.4" hidden="false" customHeight="false" outlineLevel="0" collapsed="false">
      <c r="A19" s="1" t="n">
        <v>18</v>
      </c>
      <c r="B19" s="1" t="n">
        <v>15</v>
      </c>
      <c r="C19" s="12" t="n">
        <v>2</v>
      </c>
      <c r="D19" s="13" t="s">
        <v>30</v>
      </c>
      <c r="E19" s="9" t="str">
        <f aca="false">IF((C19=""),"",VLOOKUP(C19,Phases!$A$2:$B$4,2,0))</f>
        <v>Notification Review</v>
      </c>
      <c r="F19" s="5" t="s">
        <v>31</v>
      </c>
      <c r="G19" s="5" t="s">
        <v>32</v>
      </c>
      <c r="H19" s="5" t="s">
        <v>33</v>
      </c>
      <c r="I19" s="10" t="n">
        <f aca="false">FALSE()</f>
        <v>0</v>
      </c>
      <c r="J19" s="2" t="n">
        <v>0</v>
      </c>
      <c r="K19" s="1" t="n">
        <v>0</v>
      </c>
      <c r="L19" s="11" t="s">
        <v>39</v>
      </c>
      <c r="M19" s="1" t="n">
        <v>18</v>
      </c>
    </row>
    <row r="20" customFormat="false" ht="14.4" hidden="false" customHeight="false" outlineLevel="0" collapsed="false">
      <c r="A20" s="1" t="n">
        <v>19</v>
      </c>
      <c r="B20" s="1" t="n">
        <v>15</v>
      </c>
      <c r="C20" s="12" t="n">
        <v>2</v>
      </c>
      <c r="D20" s="18" t="s">
        <v>58</v>
      </c>
      <c r="E20" s="9" t="str">
        <f aca="false">IF((C20=""),"",VLOOKUP(C20,Phases!$A$2:$B$4,2,0))</f>
        <v>Notification Review</v>
      </c>
      <c r="F20" s="5" t="s">
        <v>56</v>
      </c>
      <c r="G20" s="5" t="s">
        <v>32</v>
      </c>
      <c r="H20" s="5" t="s">
        <v>33</v>
      </c>
      <c r="I20" s="10" t="n">
        <f aca="false">FALSE()</f>
        <v>0</v>
      </c>
      <c r="J20" s="2" t="s">
        <v>59</v>
      </c>
      <c r="K20" s="1" t="n">
        <v>0</v>
      </c>
      <c r="L20" s="11" t="s">
        <v>39</v>
      </c>
      <c r="M20" s="1" t="n">
        <v>19</v>
      </c>
    </row>
    <row r="21" customFormat="false" ht="14.4" hidden="false" customHeight="false" outlineLevel="0" collapsed="false">
      <c r="A21" s="1" t="n">
        <v>20</v>
      </c>
      <c r="C21" s="12" t="n">
        <v>2</v>
      </c>
      <c r="D21" s="2" t="s">
        <v>37</v>
      </c>
      <c r="E21" s="9" t="str">
        <f aca="false">IF((C21=""),"",VLOOKUP(C21,Phases!$A$2:$B$4,2,0))</f>
        <v>Notification Review</v>
      </c>
      <c r="F21" s="5" t="s">
        <v>38</v>
      </c>
      <c r="G21" s="5" t="s">
        <v>27</v>
      </c>
      <c r="H21" s="5" t="s">
        <v>33</v>
      </c>
      <c r="I21" s="10" t="n">
        <f aca="false">FALSE()</f>
        <v>0</v>
      </c>
      <c r="J21" s="2" t="n">
        <v>0</v>
      </c>
      <c r="K21" s="1" t="n">
        <v>0</v>
      </c>
      <c r="L21" s="11" t="s">
        <v>39</v>
      </c>
      <c r="M21" s="1" t="n">
        <v>20</v>
      </c>
    </row>
    <row r="22" customFormat="false" ht="14.4" hidden="false" customHeight="false" outlineLevel="0" collapsed="false">
      <c r="A22" s="1" t="n">
        <v>21</v>
      </c>
      <c r="C22" s="12" t="n">
        <v>2</v>
      </c>
      <c r="D22" s="2" t="s">
        <v>60</v>
      </c>
      <c r="E22" s="9" t="str">
        <f aca="false">IF((C22=""),"",VLOOKUP(C22,Phases!$A$2:$B$4,2,0))</f>
        <v>Notification Review</v>
      </c>
      <c r="F22" s="5" t="s">
        <v>61</v>
      </c>
      <c r="G22" s="5" t="s">
        <v>27</v>
      </c>
      <c r="H22" s="5" t="s">
        <v>33</v>
      </c>
      <c r="I22" s="10" t="n">
        <f aca="false">FALSE()</f>
        <v>0</v>
      </c>
      <c r="J22" s="2" t="n">
        <v>0</v>
      </c>
      <c r="K22" s="1" t="n">
        <v>0</v>
      </c>
      <c r="L22" s="11" t="s">
        <v>39</v>
      </c>
      <c r="M22" s="1" t="n">
        <v>21</v>
      </c>
    </row>
    <row r="23" customFormat="false" ht="14.4" hidden="false" customHeight="false" outlineLevel="0" collapsed="false">
      <c r="A23" s="1" t="n">
        <v>22</v>
      </c>
      <c r="B23" s="1" t="n">
        <v>21</v>
      </c>
      <c r="C23" s="12" t="n">
        <v>2</v>
      </c>
      <c r="D23" s="13" t="s">
        <v>30</v>
      </c>
      <c r="E23" s="9" t="str">
        <f aca="false">IF((C23=""),"",VLOOKUP(C23,Phases!$A$2:$B$4,2,0))</f>
        <v>Notification Review</v>
      </c>
      <c r="F23" s="5" t="s">
        <v>31</v>
      </c>
      <c r="G23" s="5" t="s">
        <v>32</v>
      </c>
      <c r="H23" s="5" t="s">
        <v>33</v>
      </c>
      <c r="I23" s="10" t="n">
        <f aca="false">FALSE()</f>
        <v>0</v>
      </c>
      <c r="J23" s="2" t="n">
        <v>0</v>
      </c>
      <c r="K23" s="1" t="n">
        <v>0</v>
      </c>
      <c r="L23" s="11" t="s">
        <v>39</v>
      </c>
      <c r="M23" s="1" t="n">
        <v>22</v>
      </c>
    </row>
    <row r="24" customFormat="false" ht="14.4" hidden="false" customHeight="false" outlineLevel="0" collapsed="false">
      <c r="A24" s="1" t="n">
        <v>23</v>
      </c>
      <c r="C24" s="12" t="n">
        <v>2</v>
      </c>
      <c r="D24" s="2" t="s">
        <v>62</v>
      </c>
      <c r="E24" s="9" t="str">
        <f aca="false">IF((C24=""),"",VLOOKUP(C24,Phases!$A$2:$B$4,2,0))</f>
        <v>Notification Review</v>
      </c>
      <c r="F24" s="5" t="s">
        <v>53</v>
      </c>
      <c r="G24" s="5" t="s">
        <v>54</v>
      </c>
      <c r="H24" s="5" t="s">
        <v>33</v>
      </c>
      <c r="I24" s="10" t="n">
        <f aca="false">TRUE()</f>
        <v>1</v>
      </c>
      <c r="J24" s="2" t="n">
        <v>0</v>
      </c>
      <c r="K24" s="1" t="n">
        <v>30</v>
      </c>
      <c r="L24" s="11" t="s">
        <v>39</v>
      </c>
      <c r="M24" s="1" t="n">
        <v>23</v>
      </c>
    </row>
    <row r="25" customFormat="false" ht="14.4" hidden="false" customHeight="false" outlineLevel="0" collapsed="false">
      <c r="A25" s="1" t="n">
        <v>24</v>
      </c>
      <c r="B25" s="1" t="n">
        <v>23</v>
      </c>
      <c r="C25" s="12" t="n">
        <v>2</v>
      </c>
      <c r="D25" s="18" t="s">
        <v>55</v>
      </c>
      <c r="E25" s="9" t="str">
        <f aca="false">IF((C25=""),"",VLOOKUP(C25,Phases!$A$2:$B$4,2,0))</f>
        <v>Notification Review</v>
      </c>
      <c r="F25" s="5" t="s">
        <v>56</v>
      </c>
      <c r="G25" s="5" t="s">
        <v>32</v>
      </c>
      <c r="H25" s="5" t="s">
        <v>33</v>
      </c>
      <c r="I25" s="10" t="n">
        <f aca="false">FALSE()</f>
        <v>0</v>
      </c>
      <c r="J25" s="2" t="n">
        <v>-7</v>
      </c>
      <c r="K25" s="1" t="n">
        <v>0</v>
      </c>
      <c r="L25" s="11" t="s">
        <v>39</v>
      </c>
      <c r="M25" s="1" t="n">
        <v>24</v>
      </c>
    </row>
    <row r="26" customFormat="false" ht="14.4" hidden="false" customHeight="false" outlineLevel="0" collapsed="false">
      <c r="A26" s="1" t="n">
        <v>25</v>
      </c>
      <c r="B26" s="1" t="n">
        <v>23</v>
      </c>
      <c r="C26" s="12" t="n">
        <v>2</v>
      </c>
      <c r="D26" s="18" t="s">
        <v>57</v>
      </c>
      <c r="E26" s="9" t="str">
        <f aca="false">IF((C26=""),"",VLOOKUP(C26,Phases!$A$2:$B$4,2,0))</f>
        <v>Notification Review</v>
      </c>
      <c r="F26" s="5" t="s">
        <v>56</v>
      </c>
      <c r="G26" s="5" t="s">
        <v>32</v>
      </c>
      <c r="H26" s="5" t="s">
        <v>33</v>
      </c>
      <c r="I26" s="10" t="n">
        <f aca="false">FALSE()</f>
        <v>0</v>
      </c>
      <c r="J26" s="2" t="n">
        <v>0</v>
      </c>
      <c r="K26" s="1" t="n">
        <v>0</v>
      </c>
      <c r="L26" s="11" t="s">
        <v>39</v>
      </c>
      <c r="M26" s="1" t="n">
        <v>25</v>
      </c>
    </row>
    <row r="27" customFormat="false" ht="14.4" hidden="false" customHeight="false" outlineLevel="0" collapsed="false">
      <c r="A27" s="1" t="n">
        <v>26</v>
      </c>
      <c r="B27" s="1" t="n">
        <v>23</v>
      </c>
      <c r="C27" s="12" t="n">
        <v>2</v>
      </c>
      <c r="D27" s="13" t="s">
        <v>30</v>
      </c>
      <c r="E27" s="9" t="str">
        <f aca="false">IF((C27=""),"",VLOOKUP(C27,Phases!$A$2:$B$4,2,0))</f>
        <v>Notification Review</v>
      </c>
      <c r="F27" s="5" t="s">
        <v>31</v>
      </c>
      <c r="G27" s="5" t="s">
        <v>32</v>
      </c>
      <c r="H27" s="5" t="s">
        <v>33</v>
      </c>
      <c r="I27" s="10" t="n">
        <f aca="false">FALSE()</f>
        <v>0</v>
      </c>
      <c r="J27" s="2" t="n">
        <v>0</v>
      </c>
      <c r="K27" s="1" t="n">
        <v>0</v>
      </c>
      <c r="L27" s="11" t="s">
        <v>39</v>
      </c>
      <c r="M27" s="1" t="n">
        <v>26</v>
      </c>
    </row>
    <row r="28" customFormat="false" ht="14.4" hidden="false" customHeight="false" outlineLevel="0" collapsed="false">
      <c r="A28" s="1" t="n">
        <v>27</v>
      </c>
      <c r="B28" s="1" t="n">
        <v>23</v>
      </c>
      <c r="C28" s="12" t="n">
        <v>2</v>
      </c>
      <c r="D28" s="18" t="s">
        <v>58</v>
      </c>
      <c r="E28" s="9" t="str">
        <f aca="false">IF((C28=""),"",VLOOKUP(C28,Phases!$A$2:$B$4,2,0))</f>
        <v>Notification Review</v>
      </c>
      <c r="F28" s="5" t="s">
        <v>56</v>
      </c>
      <c r="G28" s="5" t="s">
        <v>32</v>
      </c>
      <c r="H28" s="5" t="s">
        <v>33</v>
      </c>
      <c r="I28" s="10" t="n">
        <f aca="false">FALSE()</f>
        <v>0</v>
      </c>
      <c r="J28" s="2" t="s">
        <v>59</v>
      </c>
      <c r="K28" s="1" t="n">
        <v>0</v>
      </c>
      <c r="L28" s="11" t="s">
        <v>39</v>
      </c>
      <c r="M28" s="1" t="n">
        <v>27</v>
      </c>
    </row>
    <row r="29" customFormat="false" ht="14.4" hidden="false" customHeight="false" outlineLevel="0" collapsed="false">
      <c r="A29" s="1" t="n">
        <v>28</v>
      </c>
      <c r="C29" s="12" t="n">
        <v>2</v>
      </c>
      <c r="D29" s="2" t="s">
        <v>63</v>
      </c>
      <c r="E29" s="9" t="str">
        <f aca="false">IF((C29=""),"",VLOOKUP(C29,Phases!$A$2:$B$4,2,0))</f>
        <v>Notification Review</v>
      </c>
      <c r="F29" s="5" t="s">
        <v>63</v>
      </c>
      <c r="G29" s="5" t="s">
        <v>54</v>
      </c>
      <c r="H29" s="5" t="s">
        <v>33</v>
      </c>
      <c r="I29" s="10" t="n">
        <f aca="false">FALSE()</f>
        <v>0</v>
      </c>
      <c r="J29" s="2" t="n">
        <v>0</v>
      </c>
      <c r="K29" s="1" t="n">
        <v>0</v>
      </c>
      <c r="L29" s="11" t="s">
        <v>39</v>
      </c>
      <c r="M29" s="1" t="n">
        <v>28</v>
      </c>
    </row>
    <row r="30" customFormat="false" ht="14.4" hidden="false" customHeight="false" outlineLevel="0" collapsed="false">
      <c r="A30" s="1" t="n">
        <v>29</v>
      </c>
      <c r="C30" s="12" t="n">
        <v>2</v>
      </c>
      <c r="D30" s="2" t="s">
        <v>64</v>
      </c>
      <c r="E30" s="9" t="str">
        <f aca="false">IF((C30=""),"",VLOOKUP(C30,Phases!$A$2:$B$4,2,0))</f>
        <v>Notification Review</v>
      </c>
      <c r="F30" s="5" t="s">
        <v>64</v>
      </c>
      <c r="G30" s="5" t="s">
        <v>54</v>
      </c>
      <c r="H30" s="5" t="s">
        <v>33</v>
      </c>
      <c r="I30" s="10" t="n">
        <f aca="false">FALSE()</f>
        <v>0</v>
      </c>
      <c r="J30" s="2" t="n">
        <v>0</v>
      </c>
      <c r="K30" s="1" t="n">
        <v>0</v>
      </c>
      <c r="L30" s="11" t="s">
        <v>39</v>
      </c>
      <c r="M30" s="1" t="n">
        <v>29</v>
      </c>
    </row>
    <row r="31" customFormat="false" ht="14.4" hidden="false" customHeight="false" outlineLevel="0" collapsed="false">
      <c r="A31" s="1" t="n">
        <v>30</v>
      </c>
      <c r="C31" s="12" t="n">
        <v>2</v>
      </c>
      <c r="D31" s="2" t="s">
        <v>65</v>
      </c>
      <c r="E31" s="9" t="str">
        <f aca="false">IF((C31=""),"",VLOOKUP(C31,Phases!$A$2:$B$4,2,0))</f>
        <v>Notification Review</v>
      </c>
      <c r="F31" s="5" t="s">
        <v>66</v>
      </c>
      <c r="G31" s="5" t="s">
        <v>67</v>
      </c>
      <c r="H31" s="5" t="s">
        <v>33</v>
      </c>
      <c r="I31" s="10" t="n">
        <f aca="false">FALSE()</f>
        <v>0</v>
      </c>
      <c r="J31" s="2" t="n">
        <v>0</v>
      </c>
      <c r="K31" s="1" t="n">
        <v>0</v>
      </c>
      <c r="L31" s="11" t="s">
        <v>39</v>
      </c>
      <c r="M31" s="1" t="n">
        <v>30</v>
      </c>
    </row>
    <row r="32" customFormat="false" ht="14.4" hidden="false" customHeight="false" outlineLevel="0" collapsed="false">
      <c r="A32" s="1" t="n">
        <v>31</v>
      </c>
      <c r="B32" s="1" t="n">
        <v>30</v>
      </c>
      <c r="C32" s="12" t="n">
        <v>2</v>
      </c>
      <c r="D32" s="18" t="s">
        <v>68</v>
      </c>
      <c r="E32" s="9" t="str">
        <f aca="false">IF((C32=""),"",VLOOKUP(C32,Phases!$A$2:$B$4,2,0))</f>
        <v>Notification Review</v>
      </c>
      <c r="F32" s="5" t="s">
        <v>56</v>
      </c>
      <c r="G32" s="5" t="s">
        <v>32</v>
      </c>
      <c r="H32" s="5" t="s">
        <v>33</v>
      </c>
      <c r="I32" s="10" t="n">
        <f aca="false">FALSE()</f>
        <v>0</v>
      </c>
      <c r="J32" s="2" t="n">
        <v>0</v>
      </c>
      <c r="K32" s="1" t="n">
        <v>0</v>
      </c>
      <c r="L32" s="11" t="s">
        <v>39</v>
      </c>
      <c r="M32" s="1" t="n">
        <v>31</v>
      </c>
    </row>
    <row r="33" customFormat="false" ht="14.4" hidden="false" customHeight="false" outlineLevel="0" collapsed="false">
      <c r="A33" s="1" t="n">
        <v>32</v>
      </c>
      <c r="B33" s="1" t="n">
        <v>30</v>
      </c>
      <c r="C33" s="12" t="n">
        <v>2</v>
      </c>
      <c r="D33" s="13" t="s">
        <v>30</v>
      </c>
      <c r="E33" s="9" t="str">
        <f aca="false">IF((C33=""),"",VLOOKUP(C33,Phases!$A$2:$B$4,2,0))</f>
        <v>Notification Review</v>
      </c>
      <c r="F33" s="5" t="s">
        <v>31</v>
      </c>
      <c r="G33" s="5" t="s">
        <v>32</v>
      </c>
      <c r="H33" s="5" t="s">
        <v>33</v>
      </c>
      <c r="I33" s="10" t="n">
        <f aca="false">FALSE()</f>
        <v>0</v>
      </c>
      <c r="J33" s="2" t="n">
        <v>0</v>
      </c>
      <c r="K33" s="1" t="n">
        <v>0</v>
      </c>
      <c r="L33" s="11" t="s">
        <v>39</v>
      </c>
      <c r="M33" s="1" t="n">
        <v>32</v>
      </c>
    </row>
    <row r="34" customFormat="false" ht="14.4" hidden="false" customHeight="false" outlineLevel="0" collapsed="false">
      <c r="A34" s="1" t="n">
        <v>33</v>
      </c>
      <c r="C34" s="12" t="n">
        <v>2</v>
      </c>
      <c r="D34" s="2" t="s">
        <v>69</v>
      </c>
      <c r="E34" s="9" t="str">
        <f aca="false">IF((C34=""),"",VLOOKUP(C34,Phases!$A$2:$B$4,2,0))</f>
        <v>Notification Review</v>
      </c>
      <c r="F34" s="5" t="s">
        <v>70</v>
      </c>
      <c r="G34" s="5" t="s">
        <v>67</v>
      </c>
      <c r="H34" s="5" t="s">
        <v>33</v>
      </c>
      <c r="I34" s="10" t="n">
        <f aca="false">FALSE()</f>
        <v>0</v>
      </c>
      <c r="J34" s="2" t="n">
        <v>0</v>
      </c>
      <c r="K34" s="1" t="n">
        <v>0</v>
      </c>
      <c r="L34" s="11" t="s">
        <v>39</v>
      </c>
      <c r="M34" s="1" t="n">
        <v>33</v>
      </c>
    </row>
    <row r="35" customFormat="false" ht="14.4" hidden="false" customHeight="false" outlineLevel="0" collapsed="false">
      <c r="A35" s="1" t="n">
        <v>34</v>
      </c>
      <c r="B35" s="1" t="n">
        <v>33</v>
      </c>
      <c r="C35" s="12" t="n">
        <v>2</v>
      </c>
      <c r="D35" s="18" t="s">
        <v>71</v>
      </c>
      <c r="E35" s="9" t="str">
        <f aca="false">IF((C35=""),"",VLOOKUP(C35,Phases!$A$2:$B$4,2,0))</f>
        <v>Notification Review</v>
      </c>
      <c r="F35" s="5" t="s">
        <v>56</v>
      </c>
      <c r="G35" s="5" t="s">
        <v>32</v>
      </c>
      <c r="H35" s="5" t="s">
        <v>33</v>
      </c>
      <c r="I35" s="10" t="n">
        <f aca="false">FALSE()</f>
        <v>0</v>
      </c>
      <c r="J35" s="2" t="n">
        <v>0</v>
      </c>
      <c r="K35" s="1" t="n">
        <v>0</v>
      </c>
      <c r="L35" s="11" t="s">
        <v>39</v>
      </c>
      <c r="M35" s="1" t="n">
        <v>34</v>
      </c>
    </row>
    <row r="36" customFormat="false" ht="14.4" hidden="false" customHeight="false" outlineLevel="0" collapsed="false">
      <c r="A36" s="1" t="n">
        <v>35</v>
      </c>
      <c r="B36" s="1" t="n">
        <v>33</v>
      </c>
      <c r="C36" s="12" t="n">
        <v>2</v>
      </c>
      <c r="D36" s="13" t="s">
        <v>30</v>
      </c>
      <c r="E36" s="9" t="str">
        <f aca="false">IF((C36=""),"",VLOOKUP(C36,Phases!$A$2:$B$4,2,0))</f>
        <v>Notification Review</v>
      </c>
      <c r="F36" s="5" t="s">
        <v>31</v>
      </c>
      <c r="G36" s="5" t="s">
        <v>32</v>
      </c>
      <c r="H36" s="5" t="s">
        <v>33</v>
      </c>
      <c r="I36" s="10" t="n">
        <f aca="false">FALSE()</f>
        <v>0</v>
      </c>
      <c r="J36" s="2" t="n">
        <v>0</v>
      </c>
      <c r="K36" s="1" t="n">
        <v>0</v>
      </c>
      <c r="L36" s="11" t="s">
        <v>39</v>
      </c>
      <c r="M36" s="1" t="n">
        <v>35</v>
      </c>
    </row>
    <row r="37" customFormat="false" ht="14.4" hidden="false" customHeight="false" outlineLevel="0" collapsed="false">
      <c r="A37" s="1" t="n">
        <v>36</v>
      </c>
      <c r="C37" s="12" t="n">
        <v>2</v>
      </c>
      <c r="D37" s="15" t="s">
        <v>72</v>
      </c>
      <c r="E37" s="9" t="str">
        <f aca="false">IF((C37=""),"",VLOOKUP(C37,Phases!$A$2:$B$4,2,0))</f>
        <v>Notification Review</v>
      </c>
      <c r="F37" s="5" t="s">
        <v>73</v>
      </c>
      <c r="G37" s="5" t="s">
        <v>43</v>
      </c>
      <c r="H37" s="5" t="s">
        <v>33</v>
      </c>
      <c r="I37" s="10" t="n">
        <f aca="false">FALSE()</f>
        <v>0</v>
      </c>
      <c r="J37" s="2" t="n">
        <v>0</v>
      </c>
      <c r="K37" s="1" t="n">
        <v>0</v>
      </c>
      <c r="L37" s="11" t="s">
        <v>39</v>
      </c>
      <c r="M37" s="1" t="n">
        <v>36</v>
      </c>
    </row>
    <row r="38" customFormat="false" ht="14.4" hidden="false" customHeight="false" outlineLevel="0" collapsed="false">
      <c r="A38" s="1" t="n">
        <v>37</v>
      </c>
      <c r="B38" s="1" t="n">
        <v>36</v>
      </c>
      <c r="C38" s="12" t="n">
        <v>2</v>
      </c>
      <c r="D38" s="18" t="s">
        <v>74</v>
      </c>
      <c r="E38" s="9" t="str">
        <f aca="false">IF((C38=""),"",VLOOKUP(C38,Phases!$A$2:$B$4,2,0))</f>
        <v>Notification Review</v>
      </c>
      <c r="F38" s="5" t="s">
        <v>56</v>
      </c>
      <c r="G38" s="5" t="s">
        <v>32</v>
      </c>
      <c r="H38" s="5" t="s">
        <v>33</v>
      </c>
      <c r="I38" s="10" t="n">
        <f aca="false">FALSE()</f>
        <v>0</v>
      </c>
      <c r="J38" s="2" t="n">
        <v>0</v>
      </c>
      <c r="K38" s="1" t="n">
        <v>0</v>
      </c>
      <c r="L38" s="11" t="s">
        <v>39</v>
      </c>
      <c r="M38" s="1" t="n">
        <v>37</v>
      </c>
    </row>
    <row r="39" customFormat="false" ht="14.4" hidden="false" customHeight="false" outlineLevel="0" collapsed="false">
      <c r="A39" s="1" t="n">
        <v>38</v>
      </c>
      <c r="B39" s="1" t="n">
        <v>36</v>
      </c>
      <c r="C39" s="12" t="n">
        <v>2</v>
      </c>
      <c r="D39" s="13" t="s">
        <v>30</v>
      </c>
      <c r="E39" s="9" t="str">
        <f aca="false">IF((C39=""),"",VLOOKUP(C39,Phases!$A$2:$B$4,2,0))</f>
        <v>Notification Review</v>
      </c>
      <c r="F39" s="5" t="s">
        <v>31</v>
      </c>
      <c r="G39" s="5" t="s">
        <v>32</v>
      </c>
      <c r="H39" s="5" t="s">
        <v>33</v>
      </c>
      <c r="I39" s="10" t="n">
        <f aca="false">FALSE()</f>
        <v>0</v>
      </c>
      <c r="J39" s="2" t="n">
        <v>0</v>
      </c>
      <c r="K39" s="1" t="n">
        <v>0</v>
      </c>
      <c r="L39" s="11" t="s">
        <v>39</v>
      </c>
      <c r="M39" s="1" t="n">
        <v>38</v>
      </c>
    </row>
    <row r="40" customFormat="false" ht="14.4" hidden="false" customHeight="false" outlineLevel="0" collapsed="false">
      <c r="A40" s="1" t="n">
        <v>39</v>
      </c>
      <c r="C40" s="12" t="n">
        <v>2</v>
      </c>
      <c r="D40" s="15" t="s">
        <v>46</v>
      </c>
      <c r="E40" s="9" t="str">
        <f aca="false">IF((C40=""),"",VLOOKUP(C40,Phases!$A$2:$B$4,2,0))</f>
        <v>Notification Review</v>
      </c>
      <c r="F40" s="5" t="s">
        <v>47</v>
      </c>
      <c r="G40" s="5" t="s">
        <v>43</v>
      </c>
      <c r="H40" s="5" t="s">
        <v>33</v>
      </c>
      <c r="I40" s="10" t="n">
        <f aca="false">FALSE()</f>
        <v>0</v>
      </c>
      <c r="J40" s="2" t="n">
        <v>0</v>
      </c>
      <c r="K40" s="1" t="n">
        <v>0</v>
      </c>
      <c r="L40" s="11" t="s">
        <v>39</v>
      </c>
      <c r="M40" s="1" t="n">
        <v>39</v>
      </c>
    </row>
    <row r="41" customFormat="false" ht="14.4" hidden="false" customHeight="false" outlineLevel="0" collapsed="false">
      <c r="A41" s="1" t="n">
        <v>40</v>
      </c>
      <c r="B41" s="1" t="n">
        <v>39</v>
      </c>
      <c r="C41" s="12" t="n">
        <v>2</v>
      </c>
      <c r="D41" s="18" t="s">
        <v>75</v>
      </c>
      <c r="E41" s="9" t="str">
        <f aca="false">IF((C41=""),"",VLOOKUP(C41,Phases!$A$2:$B$4,2,0))</f>
        <v>Notification Review</v>
      </c>
      <c r="F41" s="5" t="s">
        <v>56</v>
      </c>
      <c r="G41" s="5" t="s">
        <v>32</v>
      </c>
      <c r="H41" s="5" t="s">
        <v>33</v>
      </c>
      <c r="I41" s="10" t="n">
        <f aca="false">FALSE()</f>
        <v>0</v>
      </c>
      <c r="J41" s="2" t="n">
        <v>0</v>
      </c>
      <c r="K41" s="1" t="n">
        <v>0</v>
      </c>
      <c r="L41" s="11" t="s">
        <v>39</v>
      </c>
      <c r="M41" s="1" t="n">
        <v>40</v>
      </c>
    </row>
    <row r="42" customFormat="false" ht="14.4" hidden="false" customHeight="false" outlineLevel="0" collapsed="false">
      <c r="A42" s="1" t="n">
        <v>41</v>
      </c>
      <c r="B42" s="1" t="n">
        <v>39</v>
      </c>
      <c r="C42" s="12" t="n">
        <v>2</v>
      </c>
      <c r="D42" s="13" t="s">
        <v>30</v>
      </c>
      <c r="E42" s="9" t="str">
        <f aca="false">IF((C42=""),"",VLOOKUP(C42,Phases!$A$2:$B$4,2,0))</f>
        <v>Notification Review</v>
      </c>
      <c r="F42" s="5" t="s">
        <v>31</v>
      </c>
      <c r="G42" s="5" t="s">
        <v>32</v>
      </c>
      <c r="H42" s="5" t="s">
        <v>33</v>
      </c>
      <c r="I42" s="10" t="n">
        <f aca="false">FALSE()</f>
        <v>0</v>
      </c>
      <c r="J42" s="2" t="n">
        <v>0</v>
      </c>
      <c r="K42" s="1" t="n">
        <v>0</v>
      </c>
      <c r="L42" s="11" t="s">
        <v>39</v>
      </c>
      <c r="M42" s="1" t="n">
        <v>41</v>
      </c>
    </row>
    <row r="43" customFormat="false" ht="14.4" hidden="false" customHeight="false" outlineLevel="0" collapsed="false">
      <c r="A43" s="1" t="n">
        <v>42</v>
      </c>
      <c r="C43" s="12" t="n">
        <v>2</v>
      </c>
      <c r="D43" s="2" t="s">
        <v>49</v>
      </c>
      <c r="E43" s="9" t="str">
        <f aca="false">IF((C43=""),"",VLOOKUP(C43,Phases!$A$2:$B$4,2,0))</f>
        <v>Notification Review</v>
      </c>
      <c r="F43" s="5" t="s">
        <v>49</v>
      </c>
      <c r="G43" s="5" t="s">
        <v>27</v>
      </c>
      <c r="H43" s="5" t="s">
        <v>33</v>
      </c>
      <c r="I43" s="10" t="n">
        <f aca="false">FALSE()</f>
        <v>0</v>
      </c>
      <c r="J43" s="2" t="n">
        <v>0</v>
      </c>
      <c r="K43" s="1" t="n">
        <v>0</v>
      </c>
      <c r="L43" s="11" t="s">
        <v>39</v>
      </c>
      <c r="M43" s="1" t="n">
        <v>42</v>
      </c>
    </row>
    <row r="44" customFormat="false" ht="13.8" hidden="false" customHeight="false" outlineLevel="0" collapsed="false">
      <c r="A44" s="1" t="n">
        <v>43</v>
      </c>
      <c r="C44" s="12" t="n">
        <v>2</v>
      </c>
      <c r="D44" s="19" t="s">
        <v>76</v>
      </c>
      <c r="E44" s="9" t="str">
        <f aca="false">IF((C44=""),"",VLOOKUP(C44,Phases!$A$2:$B$4,2,0))</f>
        <v>Notification Review</v>
      </c>
      <c r="F44" s="5" t="s">
        <v>77</v>
      </c>
      <c r="G44" s="5" t="s">
        <v>27</v>
      </c>
      <c r="H44" s="5" t="s">
        <v>51</v>
      </c>
      <c r="I44" s="10" t="n">
        <f aca="false">FALSE()</f>
        <v>0</v>
      </c>
      <c r="J44" s="2" t="n">
        <v>60</v>
      </c>
      <c r="K44" s="1" t="n">
        <v>0</v>
      </c>
      <c r="L44" s="11" t="s">
        <v>29</v>
      </c>
      <c r="M44" s="1" t="n">
        <v>43</v>
      </c>
    </row>
    <row r="45" customFormat="false" ht="13.8" hidden="false" customHeight="false" outlineLevel="0" collapsed="false">
      <c r="A45" s="1" t="n">
        <v>44</v>
      </c>
      <c r="C45" s="12" t="n">
        <v>2</v>
      </c>
      <c r="D45" s="20" t="s">
        <v>78</v>
      </c>
      <c r="E45" s="9" t="str">
        <f aca="false">IF((C45=""),"",VLOOKUP(C45,Phases!$A$2:$B$4,2,0))</f>
        <v>Notification Review</v>
      </c>
      <c r="F45" s="5" t="s">
        <v>73</v>
      </c>
      <c r="G45" s="5" t="s">
        <v>43</v>
      </c>
      <c r="H45" s="5" t="s">
        <v>51</v>
      </c>
      <c r="I45" s="10" t="n">
        <f aca="false">FALSE()</f>
        <v>0</v>
      </c>
      <c r="J45" s="21" t="n">
        <v>60</v>
      </c>
      <c r="K45" s="1" t="n">
        <v>0</v>
      </c>
      <c r="L45" s="11" t="s">
        <v>79</v>
      </c>
      <c r="M45" s="1" t="n">
        <v>44</v>
      </c>
    </row>
    <row r="46" customFormat="false" ht="14.9" hidden="false" customHeight="false" outlineLevel="0" collapsed="false">
      <c r="A46" s="1" t="n">
        <v>45</v>
      </c>
      <c r="B46" s="1" t="n">
        <v>44</v>
      </c>
      <c r="C46" s="12" t="n">
        <v>2</v>
      </c>
      <c r="D46" s="18" t="s">
        <v>80</v>
      </c>
      <c r="E46" s="9" t="str">
        <f aca="false">IF((C46=""),"",VLOOKUP(C46,Phases!$A$2:$B$4,2,0))</f>
        <v>Notification Review</v>
      </c>
      <c r="F46" s="5" t="s">
        <v>56</v>
      </c>
      <c r="G46" s="5" t="s">
        <v>32</v>
      </c>
      <c r="H46" s="5" t="s">
        <v>33</v>
      </c>
      <c r="I46" s="10" t="n">
        <f aca="false">FALSE()</f>
        <v>0</v>
      </c>
      <c r="J46" s="2" t="n">
        <v>0</v>
      </c>
      <c r="K46" s="1" t="n">
        <v>0</v>
      </c>
      <c r="L46" s="22" t="s">
        <v>79</v>
      </c>
      <c r="M46" s="1" t="n">
        <v>45</v>
      </c>
    </row>
    <row r="47" customFormat="false" ht="14.9" hidden="false" customHeight="false" outlineLevel="0" collapsed="false">
      <c r="A47" s="1" t="n">
        <v>46</v>
      </c>
      <c r="B47" s="1" t="n">
        <v>44</v>
      </c>
      <c r="C47" s="12" t="n">
        <v>2</v>
      </c>
      <c r="D47" s="23" t="s">
        <v>30</v>
      </c>
      <c r="E47" s="9" t="str">
        <f aca="false">IF((C47=""),"",VLOOKUP(C47,Phases!$A$2:$B$4,2,0))</f>
        <v>Notification Review</v>
      </c>
      <c r="F47" s="5" t="s">
        <v>31</v>
      </c>
      <c r="G47" s="5" t="s">
        <v>32</v>
      </c>
      <c r="H47" s="5" t="s">
        <v>33</v>
      </c>
      <c r="I47" s="10" t="n">
        <f aca="false">FALSE()</f>
        <v>0</v>
      </c>
      <c r="J47" s="2" t="n">
        <v>0</v>
      </c>
      <c r="K47" s="1" t="n">
        <v>0</v>
      </c>
      <c r="L47" s="22" t="s">
        <v>79</v>
      </c>
      <c r="M47" s="1" t="n">
        <v>46</v>
      </c>
    </row>
    <row r="48" customFormat="false" ht="14.4" hidden="false" customHeight="false" outlineLevel="0" collapsed="false">
      <c r="A48" s="1" t="n">
        <v>47</v>
      </c>
      <c r="C48" s="12" t="n">
        <v>3</v>
      </c>
      <c r="D48" s="5" t="s">
        <v>81</v>
      </c>
      <c r="E48" s="9" t="str">
        <f aca="false">IF((C48=""),"",VLOOKUP(C48,Phases!$A$2:$B$4,2,0))</f>
        <v>Notification Decision</v>
      </c>
      <c r="F48" s="5" t="s">
        <v>61</v>
      </c>
      <c r="G48" s="5" t="s">
        <v>27</v>
      </c>
      <c r="H48" s="5" t="s">
        <v>28</v>
      </c>
      <c r="I48" s="10" t="n">
        <f aca="false">FALSE()</f>
        <v>0</v>
      </c>
      <c r="J48" s="2" t="n">
        <v>0</v>
      </c>
      <c r="K48" s="1" t="n">
        <v>0</v>
      </c>
      <c r="L48" s="11" t="s">
        <v>29</v>
      </c>
      <c r="M48" s="1" t="n">
        <v>47</v>
      </c>
    </row>
    <row r="49" customFormat="false" ht="14.4" hidden="false" customHeight="false" outlineLevel="0" collapsed="false">
      <c r="A49" s="1" t="n">
        <v>48</v>
      </c>
      <c r="C49" s="12" t="n">
        <v>3</v>
      </c>
      <c r="D49" s="2" t="s">
        <v>37</v>
      </c>
      <c r="E49" s="9" t="str">
        <f aca="false">IF((C49=""),"",VLOOKUP(C49,Phases!$A$2:$B$4,2,0))</f>
        <v>Notification Decision</v>
      </c>
      <c r="F49" s="5" t="s">
        <v>38</v>
      </c>
      <c r="G49" s="5" t="s">
        <v>27</v>
      </c>
      <c r="H49" s="5" t="s">
        <v>33</v>
      </c>
      <c r="I49" s="10" t="n">
        <f aca="false">FALSE()</f>
        <v>0</v>
      </c>
      <c r="J49" s="2" t="n">
        <v>0</v>
      </c>
      <c r="K49" s="1" t="n">
        <v>0</v>
      </c>
      <c r="L49" s="11" t="s">
        <v>39</v>
      </c>
      <c r="M49" s="1" t="n">
        <v>48</v>
      </c>
    </row>
    <row r="50" customFormat="false" ht="14.4" hidden="false" customHeight="false" outlineLevel="0" collapsed="false">
      <c r="A50" s="1" t="n">
        <v>49</v>
      </c>
      <c r="C50" s="12" t="n">
        <v>3</v>
      </c>
      <c r="D50" s="2" t="s">
        <v>69</v>
      </c>
      <c r="E50" s="9" t="str">
        <f aca="false">IF((C50=""),"",VLOOKUP(C50,Phases!$A$2:$B$4,2,0))</f>
        <v>Notification Decision</v>
      </c>
      <c r="F50" s="5" t="s">
        <v>70</v>
      </c>
      <c r="G50" s="5" t="s">
        <v>67</v>
      </c>
      <c r="H50" s="5" t="s">
        <v>33</v>
      </c>
      <c r="I50" s="10" t="n">
        <f aca="false">FALSE()</f>
        <v>0</v>
      </c>
      <c r="J50" s="2" t="n">
        <v>0</v>
      </c>
      <c r="K50" s="1" t="n">
        <v>0</v>
      </c>
      <c r="L50" s="11" t="s">
        <v>39</v>
      </c>
      <c r="M50" s="1" t="n">
        <v>49</v>
      </c>
    </row>
    <row r="51" customFormat="false" ht="14.4" hidden="false" customHeight="false" outlineLevel="0" collapsed="false">
      <c r="A51" s="1" t="n">
        <v>50</v>
      </c>
      <c r="B51" s="1" t="n">
        <v>49</v>
      </c>
      <c r="C51" s="12" t="n">
        <v>3</v>
      </c>
      <c r="D51" s="18" t="s">
        <v>71</v>
      </c>
      <c r="E51" s="9" t="str">
        <f aca="false">IF((C51=""),"",VLOOKUP(C51,Phases!$A$2:$B$4,2,0))</f>
        <v>Notification Decision</v>
      </c>
      <c r="F51" s="5" t="s">
        <v>56</v>
      </c>
      <c r="G51" s="5" t="s">
        <v>32</v>
      </c>
      <c r="H51" s="5" t="s">
        <v>33</v>
      </c>
      <c r="I51" s="10" t="n">
        <f aca="false">FALSE()</f>
        <v>0</v>
      </c>
      <c r="J51" s="2" t="n">
        <v>0</v>
      </c>
      <c r="K51" s="1" t="n">
        <v>0</v>
      </c>
      <c r="L51" s="11" t="s">
        <v>39</v>
      </c>
      <c r="M51" s="1" t="n">
        <v>50</v>
      </c>
    </row>
    <row r="52" customFormat="false" ht="14.4" hidden="false" customHeight="false" outlineLevel="0" collapsed="false">
      <c r="A52" s="1" t="n">
        <v>51</v>
      </c>
      <c r="B52" s="1" t="n">
        <v>49</v>
      </c>
      <c r="C52" s="12" t="n">
        <v>3</v>
      </c>
      <c r="D52" s="13" t="s">
        <v>30</v>
      </c>
      <c r="E52" s="9" t="str">
        <f aca="false">IF((C52=""),"",VLOOKUP(C52,Phases!$A$2:$B$4,2,0))</f>
        <v>Notification Decision</v>
      </c>
      <c r="F52" s="5" t="s">
        <v>31</v>
      </c>
      <c r="G52" s="5" t="s">
        <v>32</v>
      </c>
      <c r="H52" s="5" t="s">
        <v>33</v>
      </c>
      <c r="I52" s="10" t="n">
        <f aca="false">FALSE()</f>
        <v>0</v>
      </c>
      <c r="J52" s="2" t="n">
        <v>0</v>
      </c>
      <c r="K52" s="1" t="n">
        <v>0</v>
      </c>
      <c r="L52" s="11" t="s">
        <v>39</v>
      </c>
      <c r="M52" s="1" t="n">
        <v>51</v>
      </c>
    </row>
    <row r="53" customFormat="false" ht="14.4" hidden="false" customHeight="false" outlineLevel="0" collapsed="false">
      <c r="A53" s="1" t="n">
        <v>52</v>
      </c>
      <c r="C53" s="12" t="n">
        <v>3</v>
      </c>
      <c r="D53" s="15" t="s">
        <v>72</v>
      </c>
      <c r="E53" s="9" t="str">
        <f aca="false">IF((C53=""),"",VLOOKUP(C53,Phases!$A$2:$B$4,2,0))</f>
        <v>Notification Decision</v>
      </c>
      <c r="F53" s="5" t="s">
        <v>73</v>
      </c>
      <c r="G53" s="5" t="s">
        <v>43</v>
      </c>
      <c r="H53" s="5" t="s">
        <v>33</v>
      </c>
      <c r="I53" s="10" t="n">
        <f aca="false">FALSE()</f>
        <v>0</v>
      </c>
      <c r="J53" s="2" t="n">
        <v>0</v>
      </c>
      <c r="K53" s="1" t="n">
        <v>0</v>
      </c>
      <c r="L53" s="11" t="s">
        <v>39</v>
      </c>
      <c r="M53" s="1" t="n">
        <v>52</v>
      </c>
    </row>
    <row r="54" customFormat="false" ht="14.4" hidden="false" customHeight="false" outlineLevel="0" collapsed="false">
      <c r="A54" s="1" t="n">
        <v>53</v>
      </c>
      <c r="B54" s="1" t="n">
        <v>52</v>
      </c>
      <c r="C54" s="12" t="n">
        <v>3</v>
      </c>
      <c r="D54" s="18" t="s">
        <v>74</v>
      </c>
      <c r="E54" s="9" t="str">
        <f aca="false">IF((C54=""),"",VLOOKUP(C54,Phases!$A$2:$B$4,2,0))</f>
        <v>Notification Decision</v>
      </c>
      <c r="F54" s="5" t="s">
        <v>56</v>
      </c>
      <c r="G54" s="5" t="s">
        <v>32</v>
      </c>
      <c r="H54" s="5" t="s">
        <v>33</v>
      </c>
      <c r="I54" s="10" t="n">
        <f aca="false">FALSE()</f>
        <v>0</v>
      </c>
      <c r="J54" s="2" t="n">
        <v>0</v>
      </c>
      <c r="K54" s="1" t="n">
        <v>0</v>
      </c>
      <c r="L54" s="11" t="s">
        <v>39</v>
      </c>
      <c r="M54" s="1" t="n">
        <v>53</v>
      </c>
    </row>
    <row r="55" customFormat="false" ht="14.4" hidden="false" customHeight="false" outlineLevel="0" collapsed="false">
      <c r="A55" s="1" t="n">
        <v>54</v>
      </c>
      <c r="B55" s="1" t="n">
        <v>52</v>
      </c>
      <c r="C55" s="12" t="n">
        <v>3</v>
      </c>
      <c r="D55" s="13" t="s">
        <v>30</v>
      </c>
      <c r="E55" s="9" t="str">
        <f aca="false">IF((C55=""),"",VLOOKUP(C55,Phases!$A$2:$B$4,2,0))</f>
        <v>Notification Decision</v>
      </c>
      <c r="F55" s="5" t="s">
        <v>31</v>
      </c>
      <c r="G55" s="5" t="s">
        <v>32</v>
      </c>
      <c r="H55" s="5" t="s">
        <v>33</v>
      </c>
      <c r="I55" s="10" t="n">
        <f aca="false">FALSE()</f>
        <v>0</v>
      </c>
      <c r="J55" s="2" t="n">
        <v>0</v>
      </c>
      <c r="K55" s="1" t="n">
        <v>0</v>
      </c>
      <c r="L55" s="11" t="s">
        <v>39</v>
      </c>
      <c r="M55" s="1" t="n">
        <v>54</v>
      </c>
    </row>
    <row r="56" customFormat="false" ht="14.4" hidden="false" customHeight="false" outlineLevel="0" collapsed="false">
      <c r="A56" s="1" t="n">
        <v>55</v>
      </c>
      <c r="C56" s="12" t="n">
        <v>3</v>
      </c>
      <c r="D56" s="15" t="s">
        <v>46</v>
      </c>
      <c r="E56" s="9" t="str">
        <f aca="false">IF((C56=""),"",VLOOKUP(C56,Phases!$A$2:$B$4,2,0))</f>
        <v>Notification Decision</v>
      </c>
      <c r="F56" s="5" t="s">
        <v>47</v>
      </c>
      <c r="G56" s="5" t="s">
        <v>43</v>
      </c>
      <c r="H56" s="5" t="s">
        <v>33</v>
      </c>
      <c r="I56" s="10" t="n">
        <f aca="false">FALSE()</f>
        <v>0</v>
      </c>
      <c r="J56" s="2" t="n">
        <v>0</v>
      </c>
      <c r="K56" s="1" t="n">
        <v>0</v>
      </c>
      <c r="L56" s="11" t="s">
        <v>39</v>
      </c>
      <c r="M56" s="1" t="n">
        <v>55</v>
      </c>
    </row>
    <row r="57" customFormat="false" ht="14.4" hidden="false" customHeight="false" outlineLevel="0" collapsed="false">
      <c r="A57" s="1" t="n">
        <v>56</v>
      </c>
      <c r="B57" s="1" t="n">
        <v>55</v>
      </c>
      <c r="C57" s="12" t="n">
        <v>3</v>
      </c>
      <c r="D57" s="18" t="s">
        <v>75</v>
      </c>
      <c r="E57" s="9" t="str">
        <f aca="false">IF((C57=""),"",VLOOKUP(C57,Phases!$A$2:$B$4,2,0))</f>
        <v>Notification Decision</v>
      </c>
      <c r="F57" s="5" t="s">
        <v>56</v>
      </c>
      <c r="G57" s="5" t="s">
        <v>32</v>
      </c>
      <c r="H57" s="5" t="s">
        <v>33</v>
      </c>
      <c r="I57" s="10" t="n">
        <f aca="false">FALSE()</f>
        <v>0</v>
      </c>
      <c r="J57" s="2" t="n">
        <v>0</v>
      </c>
      <c r="K57" s="1" t="n">
        <v>0</v>
      </c>
      <c r="L57" s="11" t="s">
        <v>39</v>
      </c>
      <c r="M57" s="1" t="n">
        <v>56</v>
      </c>
    </row>
    <row r="58" customFormat="false" ht="14.4" hidden="false" customHeight="false" outlineLevel="0" collapsed="false">
      <c r="A58" s="1" t="n">
        <v>57</v>
      </c>
      <c r="B58" s="1" t="n">
        <v>55</v>
      </c>
      <c r="C58" s="12" t="n">
        <v>3</v>
      </c>
      <c r="D58" s="13" t="s">
        <v>30</v>
      </c>
      <c r="E58" s="9" t="str">
        <f aca="false">IF((C58=""),"",VLOOKUP(C58,Phases!$A$2:$B$4,2,0))</f>
        <v>Notification Decision</v>
      </c>
      <c r="F58" s="5" t="s">
        <v>31</v>
      </c>
      <c r="G58" s="5" t="s">
        <v>32</v>
      </c>
      <c r="H58" s="5" t="s">
        <v>33</v>
      </c>
      <c r="I58" s="10" t="n">
        <f aca="false">FALSE()</f>
        <v>0</v>
      </c>
      <c r="J58" s="2" t="n">
        <v>0</v>
      </c>
      <c r="K58" s="1" t="n">
        <v>0</v>
      </c>
      <c r="L58" s="11" t="s">
        <v>39</v>
      </c>
      <c r="M58" s="1" t="n">
        <v>57</v>
      </c>
    </row>
    <row r="59" customFormat="false" ht="14.4" hidden="false" customHeight="false" outlineLevel="0" collapsed="false">
      <c r="A59" s="1" t="n">
        <v>58</v>
      </c>
      <c r="C59" s="12" t="n">
        <v>3</v>
      </c>
      <c r="D59" s="2" t="s">
        <v>49</v>
      </c>
      <c r="E59" s="9" t="str">
        <f aca="false">IF((C59=""),"",VLOOKUP(C59,Phases!$A$2:$B$4,2,0))</f>
        <v>Notification Decision</v>
      </c>
      <c r="F59" s="5" t="s">
        <v>49</v>
      </c>
      <c r="G59" s="5" t="s">
        <v>27</v>
      </c>
      <c r="H59" s="5" t="s">
        <v>33</v>
      </c>
      <c r="I59" s="10" t="n">
        <f aca="false">FALSE()</f>
        <v>0</v>
      </c>
      <c r="J59" s="2" t="n">
        <v>0</v>
      </c>
      <c r="K59" s="1" t="n">
        <v>0</v>
      </c>
      <c r="L59" s="11" t="s">
        <v>39</v>
      </c>
      <c r="M59" s="1" t="n">
        <v>58</v>
      </c>
    </row>
    <row r="60" customFormat="false" ht="14.4" hidden="false" customHeight="false" outlineLevel="0" collapsed="false">
      <c r="A60" s="1" t="n">
        <v>59</v>
      </c>
      <c r="C60" s="12" t="n">
        <v>3</v>
      </c>
      <c r="D60" s="19" t="s">
        <v>78</v>
      </c>
      <c r="E60" s="9" t="str">
        <f aca="false">IF((C60=""),"",VLOOKUP(C60,Phases!$A$2:$B$4,2,0))</f>
        <v>Notification Decision</v>
      </c>
      <c r="F60" s="5" t="s">
        <v>45</v>
      </c>
      <c r="G60" s="5" t="s">
        <v>43</v>
      </c>
      <c r="H60" s="5" t="s">
        <v>51</v>
      </c>
      <c r="I60" s="10" t="n">
        <f aca="false">FALSE()</f>
        <v>0</v>
      </c>
      <c r="J60" s="2" t="n">
        <v>4</v>
      </c>
      <c r="K60" s="1" t="n">
        <v>0</v>
      </c>
      <c r="L60" s="11" t="s">
        <v>29</v>
      </c>
      <c r="M60" s="1" t="n">
        <v>59</v>
      </c>
    </row>
    <row r="61" customFormat="false" ht="14.4" hidden="false" customHeight="false" outlineLevel="0" collapsed="false">
      <c r="A61" s="1" t="n">
        <v>60</v>
      </c>
      <c r="B61" s="1" t="n">
        <v>59</v>
      </c>
      <c r="C61" s="12" t="n">
        <v>3</v>
      </c>
      <c r="D61" s="18" t="s">
        <v>80</v>
      </c>
      <c r="E61" s="9" t="str">
        <f aca="false">IF((C61=""),"",VLOOKUP(C61,Phases!$A$2:$B$4,2,0))</f>
        <v>Notification Decision</v>
      </c>
      <c r="F61" s="5" t="s">
        <v>56</v>
      </c>
      <c r="G61" s="5" t="s">
        <v>32</v>
      </c>
      <c r="H61" s="5" t="s">
        <v>33</v>
      </c>
      <c r="I61" s="10" t="n">
        <f aca="false">FALSE()</f>
        <v>0</v>
      </c>
      <c r="J61" s="2" t="n">
        <v>0</v>
      </c>
      <c r="K61" s="1" t="n">
        <v>0</v>
      </c>
      <c r="L61" s="11" t="s">
        <v>29</v>
      </c>
      <c r="M61" s="1" t="n">
        <v>60</v>
      </c>
    </row>
    <row r="62" customFormat="false" ht="14.4" hidden="false" customHeight="false" outlineLevel="0" collapsed="false">
      <c r="A62" s="1" t="n">
        <v>61</v>
      </c>
      <c r="B62" s="1" t="n">
        <v>59</v>
      </c>
      <c r="C62" s="12" t="n">
        <v>3</v>
      </c>
      <c r="D62" s="13" t="s">
        <v>30</v>
      </c>
      <c r="E62" s="9" t="str">
        <f aca="false">IF((C62=""),"",VLOOKUP(C62,Phases!$A$2:$B$4,2,0))</f>
        <v>Notification Decision</v>
      </c>
      <c r="F62" s="5" t="s">
        <v>31</v>
      </c>
      <c r="G62" s="5" t="s">
        <v>32</v>
      </c>
      <c r="H62" s="5" t="s">
        <v>33</v>
      </c>
      <c r="I62" s="10" t="n">
        <f aca="false">FALSE()</f>
        <v>0</v>
      </c>
      <c r="J62" s="2" t="n">
        <v>0</v>
      </c>
      <c r="K62" s="1" t="n">
        <v>0</v>
      </c>
      <c r="L62" s="11" t="s">
        <v>29</v>
      </c>
      <c r="M62" s="1" t="n">
        <v>61</v>
      </c>
    </row>
  </sheetData>
  <autoFilter ref="A1:M62"/>
  <conditionalFormatting sqref="H1:H62">
    <cfRule type="containsText" priority="2" operator="containsText" aboveAverage="0" equalAverage="0" bottom="0" percent="0" rank="0" text="END" dxfId="12">
      <formula>NOT(ISERROR(SEARCH("END",H1)))</formula>
    </cfRule>
    <cfRule type="containsText" priority="3" operator="containsText" aboveAverage="0" equalAverage="0" bottom="0" percent="0" rank="0" text="START" dxfId="13">
      <formula>NOT(ISERROR(SEARCH("START",H1)))</formula>
    </cfRule>
  </conditionalFormatting>
  <dataValidations count="7">
    <dataValidation allowBlank="true" errorStyle="stop" operator="between" showDropDown="false" showErrorMessage="true" showInputMessage="true" sqref="F2:F62" type="list">
      <formula1>Lookups!$I$3:$I$39</formula1>
      <formula2>0</formula2>
    </dataValidation>
    <dataValidation allowBlank="true" errorStyle="stop" operator="between" showDropDown="false" showErrorMessage="true" showInputMessage="true" sqref="I2:I62" type="list">
      <formula1>Lookups!$S$3:$S$4</formula1>
      <formula2>0</formula2>
    </dataValidation>
    <dataValidation allowBlank="true" errorStyle="stop" operator="between" showDropDown="false" showErrorMessage="true" showInputMessage="true" sqref="G2:G62" type="list">
      <formula1>Lookups!$K$3:$K$9</formula1>
      <formula2>0</formula2>
    </dataValidation>
    <dataValidation allowBlank="true" errorStyle="stop" operator="between" showDropDown="false" showErrorMessage="true" showInputMessage="true" sqref="C2:C62" type="list">
      <formula1>Phases!$A$2:$A$4</formula1>
      <formula2>0</formula2>
    </dataValidation>
    <dataValidation allowBlank="true" errorStyle="stop" operator="between" showDropDown="false" showErrorMessage="true" showInputMessage="true" sqref="L2:L3 L5:L62" type="list">
      <formula1>Lookups!$M$3:$M$6</formula1>
      <formula2>0</formula2>
    </dataValidation>
    <dataValidation allowBlank="true" errorStyle="stop" operator="between" showDropDown="false" showErrorMessage="true" showInputMessage="true" sqref="H2:H62" type="list">
      <formula1>Lookups!$Q$3:$Q$5</formula1>
      <formula2>0</formula2>
    </dataValidation>
    <dataValidation allowBlank="true" errorStyle="stop" operator="between" showDropDown="false" showErrorMessage="true" showInputMessage="true" sqref="L4" type="list">
      <formula1>Lookups!$M$3:$M$6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4" activeCellId="0" sqref="B14"/>
    </sheetView>
  </sheetViews>
  <sheetFormatPr defaultColWidth="8.875" defaultRowHeight="14.4" zeroHeight="false" outlineLevelRow="0" outlineLevelCol="0"/>
  <cols>
    <col collapsed="false" customWidth="true" hidden="false" outlineLevel="0" max="1" min="1" style="2" width="6.66"/>
    <col collapsed="false" customWidth="true" hidden="false" outlineLevel="0" max="2" min="2" style="2" width="12.66"/>
    <col collapsed="false" customWidth="true" hidden="false" outlineLevel="0" max="3" min="3" style="2" width="70.65"/>
    <col collapsed="false" customWidth="true" hidden="false" outlineLevel="0" max="4" min="4" style="2" width="30.78"/>
    <col collapsed="false" customWidth="true" hidden="false" outlineLevel="0" max="5" min="5" style="2" width="70.65"/>
    <col collapsed="false" customWidth="true" hidden="false" outlineLevel="0" max="6" min="6" style="2" width="12.66"/>
    <col collapsed="false" customWidth="false" hidden="false" outlineLevel="0" max="1024" min="7" style="2" width="8.87"/>
  </cols>
  <sheetData>
    <row r="1" s="3" customFormat="true" ht="14.4" hidden="false" customHeight="false" outlineLevel="0" collapsed="false">
      <c r="A1" s="3" t="s">
        <v>0</v>
      </c>
      <c r="B1" s="3" t="s">
        <v>82</v>
      </c>
      <c r="C1" s="3" t="s">
        <v>83</v>
      </c>
      <c r="D1" s="3" t="s">
        <v>84</v>
      </c>
      <c r="E1" s="24" t="s">
        <v>85</v>
      </c>
      <c r="F1" s="3" t="s">
        <v>8</v>
      </c>
    </row>
    <row r="2" customFormat="false" ht="14.4" hidden="false" customHeight="false" outlineLevel="0" collapsed="false">
      <c r="A2" s="1" t="n">
        <v>1</v>
      </c>
      <c r="B2" s="12" t="n">
        <v>6</v>
      </c>
      <c r="C2" s="9" t="str">
        <f aca="false">IF((B2=""),"",VLOOKUP(B2,Events!$A$2:$D$209,4,0))</f>
        <v>EAO's Viewpoint on Submitted Document</v>
      </c>
      <c r="D2" s="25" t="s">
        <v>86</v>
      </c>
      <c r="E2" s="2" t="s">
        <v>87</v>
      </c>
      <c r="F2" s="1" t="n">
        <v>1</v>
      </c>
    </row>
    <row r="3" customFormat="false" ht="14.4" hidden="false" customHeight="false" outlineLevel="0" collapsed="false">
      <c r="A3" s="1" t="n">
        <v>2</v>
      </c>
      <c r="B3" s="12" t="n">
        <v>6</v>
      </c>
      <c r="C3" s="9" t="str">
        <f aca="false">IF((B3=""),"",VLOOKUP(B3,Events!$A$2:$D$209,4,0))</f>
        <v>EAO's Viewpoint on Submitted Document</v>
      </c>
      <c r="D3" s="25" t="s">
        <v>88</v>
      </c>
      <c r="E3" s="2" t="s">
        <v>89</v>
      </c>
      <c r="F3" s="1" t="n">
        <v>2</v>
      </c>
    </row>
    <row r="4" customFormat="false" ht="14.4" hidden="false" customHeight="false" outlineLevel="0" collapsed="false">
      <c r="A4" s="1" t="n">
        <v>3</v>
      </c>
      <c r="B4" s="12" t="n">
        <v>7</v>
      </c>
      <c r="C4" s="9" t="str">
        <f aca="false">IF((B4=""),"",VLOOKUP(B4,Events!$A$2:$D$209,4,0))</f>
        <v>Delegation of PN Decision</v>
      </c>
      <c r="D4" s="25" t="s">
        <v>90</v>
      </c>
      <c r="E4" s="2" t="s">
        <v>91</v>
      </c>
      <c r="F4" s="1" t="n">
        <v>3</v>
      </c>
    </row>
    <row r="5" customFormat="false" ht="14.4" hidden="false" customHeight="false" outlineLevel="0" collapsed="false">
      <c r="A5" s="1" t="n">
        <v>4</v>
      </c>
      <c r="B5" s="12" t="n">
        <v>7</v>
      </c>
      <c r="C5" s="9" t="str">
        <f aca="false">IF((B5=""),"",VLOOKUP(B5,Events!$A$2:$D$209,4,0))</f>
        <v>Delegation of PN Decision</v>
      </c>
      <c r="D5" s="25" t="s">
        <v>92</v>
      </c>
      <c r="E5" s="2" t="s">
        <v>93</v>
      </c>
      <c r="F5" s="1" t="n">
        <v>4</v>
      </c>
    </row>
    <row r="6" customFormat="false" ht="14.4" hidden="false" customHeight="false" outlineLevel="0" collapsed="false">
      <c r="A6" s="1" t="n">
        <v>5</v>
      </c>
      <c r="B6" s="12" t="n">
        <v>8</v>
      </c>
      <c r="C6" s="9" t="str">
        <f aca="false">IF((B6=""),"",VLOOKUP(B6,Events!$A$2:$D$209,4,0))</f>
        <v>Project Notification Withdrawn</v>
      </c>
      <c r="D6" s="25" t="s">
        <v>94</v>
      </c>
      <c r="E6" s="25" t="s">
        <v>95</v>
      </c>
      <c r="F6" s="1" t="n">
        <v>5</v>
      </c>
    </row>
    <row r="7" customFormat="false" ht="14.4" hidden="false" customHeight="false" outlineLevel="0" collapsed="false">
      <c r="A7" s="1" t="n">
        <v>6</v>
      </c>
      <c r="B7" s="12" t="n">
        <v>9</v>
      </c>
      <c r="C7" s="9" t="str">
        <f aca="false">IF((B7=""),"",VLOOKUP(B7,Events!$A$2:$D$209,4,0))</f>
        <v>Direct Submission of Project Notification - DELETE this Intake Phase!</v>
      </c>
      <c r="D7" s="2" t="s">
        <v>96</v>
      </c>
      <c r="E7" s="2" t="s">
        <v>97</v>
      </c>
      <c r="F7" s="1" t="n">
        <v>6</v>
      </c>
    </row>
    <row r="8" customFormat="false" ht="14.4" hidden="false" customHeight="false" outlineLevel="0" collapsed="false">
      <c r="A8" s="1" t="n">
        <v>7</v>
      </c>
      <c r="B8" s="12" t="n">
        <v>12</v>
      </c>
      <c r="C8" s="9" t="str">
        <f aca="false">IF((B8=""),"",VLOOKUP(B8,Events!$A$2:$D$209,4,0))</f>
        <v>Project Notification Submission Received (Day Zero)</v>
      </c>
      <c r="D8" s="25" t="s">
        <v>98</v>
      </c>
      <c r="E8" s="25" t="s">
        <v>99</v>
      </c>
      <c r="F8" s="1" t="n">
        <v>7</v>
      </c>
    </row>
    <row r="9" customFormat="false" ht="14.4" hidden="false" customHeight="false" outlineLevel="0" collapsed="false">
      <c r="A9" s="1" t="n">
        <v>8</v>
      </c>
      <c r="B9" s="12" t="n">
        <v>14</v>
      </c>
      <c r="C9" s="9" t="str">
        <f aca="false">IF((B9=""),"",VLOOKUP(B9,Events!$A$2:$D$209,4,0))</f>
        <v>Delegation of PN Decision</v>
      </c>
      <c r="D9" s="25" t="s">
        <v>90</v>
      </c>
      <c r="E9" s="2" t="s">
        <v>91</v>
      </c>
      <c r="F9" s="1" t="n">
        <v>8</v>
      </c>
    </row>
    <row r="10" customFormat="false" ht="14.4" hidden="false" customHeight="false" outlineLevel="0" collapsed="false">
      <c r="A10" s="1" t="n">
        <v>9</v>
      </c>
      <c r="B10" s="12" t="n">
        <v>14</v>
      </c>
      <c r="C10" s="9" t="str">
        <f aca="false">IF((B10=""),"",VLOOKUP(B10,Events!$A$2:$D$209,4,0))</f>
        <v>Delegation of PN Decision</v>
      </c>
      <c r="D10" s="25" t="s">
        <v>92</v>
      </c>
      <c r="E10" s="2" t="s">
        <v>93</v>
      </c>
      <c r="F10" s="1" t="n">
        <v>9</v>
      </c>
    </row>
    <row r="11" customFormat="false" ht="14.4" hidden="false" customHeight="false" outlineLevel="0" collapsed="false">
      <c r="A11" s="1" t="n">
        <v>10</v>
      </c>
      <c r="B11" s="12" t="n">
        <v>36</v>
      </c>
      <c r="C11" s="9" t="str">
        <f aca="false">IF((B11=""),"",VLOOKUP(B11,Events!$A$2:$D$209,4,0))</f>
        <v>Project Notification Terminated s.39(d)</v>
      </c>
      <c r="D11" s="25" t="s">
        <v>100</v>
      </c>
      <c r="E11" s="25" t="s">
        <v>101</v>
      </c>
      <c r="F11" s="1" t="n">
        <v>10</v>
      </c>
    </row>
    <row r="12" customFormat="false" ht="14.4" hidden="false" customHeight="false" outlineLevel="0" collapsed="false">
      <c r="A12" s="1" t="n">
        <v>11</v>
      </c>
      <c r="B12" s="12" t="n">
        <v>39</v>
      </c>
      <c r="C12" s="9" t="str">
        <f aca="false">IF((B12=""),"",VLOOKUP(B12,Events!$A$2:$D$209,4,0))</f>
        <v>Project Notification Withdrawn</v>
      </c>
      <c r="D12" s="25" t="s">
        <v>94</v>
      </c>
      <c r="E12" s="25" t="s">
        <v>95</v>
      </c>
      <c r="F12" s="1" t="n">
        <v>11</v>
      </c>
    </row>
    <row r="13" customFormat="false" ht="14.4" hidden="false" customHeight="false" outlineLevel="0" collapsed="false">
      <c r="A13" s="1" t="n">
        <v>12</v>
      </c>
      <c r="B13" s="12" t="n">
        <v>44</v>
      </c>
      <c r="C13" s="9" t="str">
        <f aca="false">IF((B13=""),"",VLOOKUP(B13,Events!$A$2:$D$209,4,0))</f>
        <v>Decision: Project Notification</v>
      </c>
      <c r="D13" s="25" t="s">
        <v>102</v>
      </c>
      <c r="E13" s="25" t="s">
        <v>102</v>
      </c>
      <c r="F13" s="1" t="n">
        <v>12</v>
      </c>
    </row>
    <row r="14" customFormat="false" ht="14.4" hidden="false" customHeight="false" outlineLevel="0" collapsed="false">
      <c r="A14" s="1" t="n">
        <v>13</v>
      </c>
      <c r="B14" s="12" t="n">
        <v>44</v>
      </c>
      <c r="C14" s="9" t="str">
        <f aca="false">IF((B14=""),"",VLOOKUP(B14,Events!$A$2:$D$209,4,0))</f>
        <v>Decision: Project Notification</v>
      </c>
      <c r="D14" s="2" t="s">
        <v>103</v>
      </c>
      <c r="E14" s="2" t="s">
        <v>104</v>
      </c>
      <c r="F14" s="1" t="n">
        <v>13</v>
      </c>
    </row>
    <row r="15" customFormat="false" ht="14.4" hidden="false" customHeight="false" outlineLevel="0" collapsed="false">
      <c r="A15" s="1" t="n">
        <v>14</v>
      </c>
      <c r="B15" s="12" t="n">
        <v>44</v>
      </c>
      <c r="C15" s="9" t="str">
        <f aca="false">IF((B15=""),"",VLOOKUP(B15,Events!$A$2:$D$209,4,0))</f>
        <v>Decision: Project Notification</v>
      </c>
      <c r="D15" s="25" t="s">
        <v>105</v>
      </c>
      <c r="E15" s="25" t="s">
        <v>106</v>
      </c>
      <c r="F15" s="1" t="n">
        <v>14</v>
      </c>
    </row>
    <row r="16" customFormat="false" ht="14.4" hidden="false" customHeight="false" outlineLevel="0" collapsed="false">
      <c r="A16" s="1" t="n">
        <v>15</v>
      </c>
      <c r="B16" s="12" t="n">
        <v>52</v>
      </c>
      <c r="C16" s="9" t="str">
        <f aca="false">IF((B16=""),"",VLOOKUP(B16,Events!$A$2:$D$209,4,0))</f>
        <v>Project Notification Terminated s.39(d)</v>
      </c>
      <c r="D16" s="25" t="s">
        <v>100</v>
      </c>
      <c r="E16" s="25" t="s">
        <v>101</v>
      </c>
      <c r="F16" s="1" t="n">
        <v>15</v>
      </c>
    </row>
    <row r="17" customFormat="false" ht="14.4" hidden="false" customHeight="false" outlineLevel="0" collapsed="false">
      <c r="A17" s="1" t="n">
        <v>16</v>
      </c>
      <c r="B17" s="12" t="n">
        <v>55</v>
      </c>
      <c r="C17" s="9" t="str">
        <f aca="false">IF((B17=""),"",VLOOKUP(B17,Events!$A$2:$D$209,4,0))</f>
        <v>Project Notification Withdrawn</v>
      </c>
      <c r="D17" s="25" t="s">
        <v>94</v>
      </c>
      <c r="E17" s="25" t="s">
        <v>95</v>
      </c>
      <c r="F17" s="1" t="n">
        <v>16</v>
      </c>
    </row>
    <row r="18" customFormat="false" ht="14.4" hidden="false" customHeight="false" outlineLevel="0" collapsed="false">
      <c r="A18" s="1" t="n">
        <v>17</v>
      </c>
      <c r="B18" s="12" t="n">
        <v>59</v>
      </c>
      <c r="C18" s="9" t="str">
        <f aca="false">IF((B18=""),"",VLOOKUP(B18,Events!$A$2:$D$209,4,0))</f>
        <v>Decision: Project Notification</v>
      </c>
      <c r="D18" s="2" t="s">
        <v>102</v>
      </c>
      <c r="E18" s="2" t="s">
        <v>102</v>
      </c>
      <c r="F18" s="1" t="n">
        <v>17</v>
      </c>
    </row>
    <row r="19" customFormat="false" ht="14.4" hidden="false" customHeight="false" outlineLevel="0" collapsed="false">
      <c r="A19" s="1" t="n">
        <v>18</v>
      </c>
      <c r="B19" s="12" t="n">
        <v>59</v>
      </c>
      <c r="C19" s="9" t="str">
        <f aca="false">IF((B19=""),"",VLOOKUP(B19,Events!$A$2:$D$209,4,0))</f>
        <v>Decision: Project Notification</v>
      </c>
      <c r="D19" s="25" t="s">
        <v>103</v>
      </c>
      <c r="E19" s="25" t="s">
        <v>104</v>
      </c>
      <c r="F19" s="1" t="n">
        <v>18</v>
      </c>
    </row>
    <row r="20" customFormat="false" ht="14.4" hidden="false" customHeight="false" outlineLevel="0" collapsed="false">
      <c r="A20" s="1" t="n">
        <v>19</v>
      </c>
      <c r="B20" s="12" t="n">
        <v>59</v>
      </c>
      <c r="C20" s="9" t="str">
        <f aca="false">IF((B20=""),"",VLOOKUP(B20,Events!$A$2:$D$209,4,0))</f>
        <v>Decision: Project Notification</v>
      </c>
      <c r="D20" s="25" t="s">
        <v>105</v>
      </c>
      <c r="E20" s="25" t="s">
        <v>106</v>
      </c>
      <c r="F20" s="1" t="n">
        <v>19</v>
      </c>
    </row>
    <row r="21" customFormat="false" ht="14.4" hidden="false" customHeight="false" outlineLevel="0" collapsed="false">
      <c r="A21" s="1" t="n">
        <v>20</v>
      </c>
      <c r="B21" s="12"/>
      <c r="C21" s="9" t="str">
        <f aca="false">IF((B21=""),"",VLOOKUP(B21,Events!$A$2:$D$209,4,0))</f>
        <v/>
      </c>
      <c r="D21" s="25"/>
      <c r="E21" s="25"/>
      <c r="F21" s="1" t="n">
        <v>20</v>
      </c>
    </row>
    <row r="22" customFormat="false" ht="14.4" hidden="false" customHeight="false" outlineLevel="0" collapsed="false">
      <c r="A22" s="1" t="n">
        <v>21</v>
      </c>
      <c r="B22" s="12"/>
      <c r="C22" s="9" t="str">
        <f aca="false">IF((B22=""),"",VLOOKUP(B22,Events!$A$2:$D$209,4,0))</f>
        <v/>
      </c>
      <c r="D22" s="25"/>
      <c r="E22" s="25"/>
      <c r="F22" s="1" t="n">
        <v>21</v>
      </c>
    </row>
    <row r="23" customFormat="false" ht="14.4" hidden="false" customHeight="false" outlineLevel="0" collapsed="false">
      <c r="A23" s="1" t="n">
        <v>22</v>
      </c>
      <c r="B23" s="12"/>
      <c r="C23" s="9" t="str">
        <f aca="false">IF((B23=""),"",VLOOKUP(B23,Events!$A$2:$D$209,4,0))</f>
        <v/>
      </c>
      <c r="D23" s="25"/>
      <c r="E23" s="25"/>
      <c r="F23" s="1" t="n">
        <v>22</v>
      </c>
    </row>
    <row r="24" customFormat="false" ht="14.4" hidden="false" customHeight="false" outlineLevel="0" collapsed="false">
      <c r="A24" s="1" t="n">
        <v>23</v>
      </c>
      <c r="B24" s="12"/>
      <c r="C24" s="9" t="str">
        <f aca="false">IF((B24=""),"",VLOOKUP(B24,Events!$A$2:$D$209,4,0))</f>
        <v/>
      </c>
      <c r="D24" s="25"/>
      <c r="E24" s="25"/>
      <c r="F24" s="1" t="n">
        <v>23</v>
      </c>
    </row>
    <row r="25" customFormat="false" ht="14.4" hidden="false" customHeight="false" outlineLevel="0" collapsed="false">
      <c r="A25" s="1" t="n">
        <v>24</v>
      </c>
      <c r="B25" s="12"/>
      <c r="C25" s="9" t="str">
        <f aca="false">IF((B25=""),"",VLOOKUP(B25,Events!$A$2:$D$209,4,0))</f>
        <v/>
      </c>
      <c r="D25" s="25"/>
      <c r="E25" s="25"/>
      <c r="F25" s="1" t="n">
        <v>24</v>
      </c>
    </row>
    <row r="26" customFormat="false" ht="14.4" hidden="false" customHeight="false" outlineLevel="0" collapsed="false">
      <c r="A26" s="1" t="n">
        <v>25</v>
      </c>
      <c r="B26" s="12"/>
      <c r="C26" s="9" t="str">
        <f aca="false">IF((B26=""),"",VLOOKUP(B26,Events!$A$2:$D$209,4,0))</f>
        <v/>
      </c>
      <c r="D26" s="25"/>
      <c r="E26" s="25"/>
      <c r="F26" s="1" t="n">
        <v>25</v>
      </c>
    </row>
    <row r="27" customFormat="false" ht="14.4" hidden="false" customHeight="false" outlineLevel="0" collapsed="false">
      <c r="A27" s="1" t="n">
        <v>26</v>
      </c>
      <c r="B27" s="12"/>
      <c r="C27" s="9" t="str">
        <f aca="false">IF((B27=""),"",VLOOKUP(B27,Events!$A$2:$D$209,4,0))</f>
        <v/>
      </c>
      <c r="D27" s="25"/>
      <c r="E27" s="25"/>
      <c r="F27" s="1" t="n">
        <v>26</v>
      </c>
    </row>
    <row r="28" customFormat="false" ht="14.4" hidden="false" customHeight="false" outlineLevel="0" collapsed="false">
      <c r="A28" s="1" t="n">
        <v>27</v>
      </c>
      <c r="B28" s="12"/>
      <c r="C28" s="9" t="str">
        <f aca="false">IF((B28=""),"",VLOOKUP(B28,Events!$A$2:$D$209,4,0))</f>
        <v/>
      </c>
      <c r="D28" s="25"/>
      <c r="E28" s="25"/>
      <c r="F28" s="1" t="n">
        <v>27</v>
      </c>
    </row>
    <row r="29" customFormat="false" ht="14.4" hidden="false" customHeight="false" outlineLevel="0" collapsed="false">
      <c r="A29" s="1" t="n">
        <v>28</v>
      </c>
      <c r="B29" s="12"/>
      <c r="C29" s="9" t="str">
        <f aca="false">IF((B29=""),"",VLOOKUP(B29,Events!$A$2:$D$209,4,0))</f>
        <v/>
      </c>
      <c r="D29" s="25"/>
      <c r="E29" s="25"/>
      <c r="F29" s="1" t="n">
        <v>28</v>
      </c>
    </row>
    <row r="30" customFormat="false" ht="14.4" hidden="false" customHeight="false" outlineLevel="0" collapsed="false">
      <c r="A30" s="1" t="n">
        <v>29</v>
      </c>
      <c r="B30" s="12"/>
      <c r="C30" s="9" t="str">
        <f aca="false">IF((B30=""),"",VLOOKUP(B30,Events!$A$2:$D$209,4,0))</f>
        <v/>
      </c>
      <c r="D30" s="25"/>
      <c r="E30" s="25"/>
      <c r="F30" s="1" t="n">
        <v>29</v>
      </c>
    </row>
    <row r="31" customFormat="false" ht="14.4" hidden="false" customHeight="false" outlineLevel="0" collapsed="false">
      <c r="A31" s="1" t="n">
        <v>30</v>
      </c>
      <c r="B31" s="12"/>
      <c r="C31" s="9" t="str">
        <f aca="false">IF((B31=""),"",VLOOKUP(B31,Events!$A$2:$D$209,4,0))</f>
        <v/>
      </c>
      <c r="D31" s="25"/>
      <c r="E31" s="25"/>
      <c r="F31" s="1" t="n">
        <v>30</v>
      </c>
    </row>
    <row r="32" customFormat="false" ht="14.4" hidden="false" customHeight="false" outlineLevel="0" collapsed="false">
      <c r="A32" s="1" t="n">
        <v>31</v>
      </c>
      <c r="B32" s="12"/>
      <c r="C32" s="9" t="str">
        <f aca="false">IF((B32=""),"",VLOOKUP(B32,Events!$A$2:$D$209,4,0))</f>
        <v/>
      </c>
      <c r="D32" s="25"/>
      <c r="E32" s="25"/>
      <c r="F32" s="1" t="n">
        <v>31</v>
      </c>
    </row>
    <row r="33" customFormat="false" ht="14.4" hidden="false" customHeight="false" outlineLevel="0" collapsed="false">
      <c r="A33" s="1" t="n">
        <v>32</v>
      </c>
      <c r="B33" s="12"/>
      <c r="C33" s="9" t="str">
        <f aca="false">IF((B33=""),"",VLOOKUP(B33,Events!$A$2:$D$209,4,0))</f>
        <v/>
      </c>
      <c r="D33" s="25"/>
      <c r="E33" s="25"/>
      <c r="F33" s="1" t="n">
        <v>32</v>
      </c>
    </row>
    <row r="34" customFormat="false" ht="14.4" hidden="false" customHeight="false" outlineLevel="0" collapsed="false">
      <c r="A34" s="1" t="n">
        <v>33</v>
      </c>
      <c r="B34" s="12"/>
      <c r="C34" s="9" t="str">
        <f aca="false">IF((B34=""),"",VLOOKUP(B34,Events!$A$2:$D$209,4,0))</f>
        <v/>
      </c>
      <c r="D34" s="25"/>
      <c r="E34" s="25"/>
      <c r="F34" s="1" t="n">
        <v>33</v>
      </c>
    </row>
    <row r="35" customFormat="false" ht="14.4" hidden="false" customHeight="false" outlineLevel="0" collapsed="false">
      <c r="A35" s="1" t="n">
        <v>34</v>
      </c>
      <c r="B35" s="12"/>
      <c r="C35" s="9" t="str">
        <f aca="false">IF((B35=""),"",VLOOKUP(B35,Events!$A$2:$D$209,4,0))</f>
        <v/>
      </c>
      <c r="D35" s="25"/>
      <c r="E35" s="25"/>
      <c r="F35" s="1" t="n">
        <v>34</v>
      </c>
    </row>
    <row r="36" customFormat="false" ht="14.4" hidden="false" customHeight="false" outlineLevel="0" collapsed="false">
      <c r="A36" s="1" t="n">
        <v>35</v>
      </c>
      <c r="B36" s="12"/>
      <c r="C36" s="9" t="str">
        <f aca="false">IF((B36=""),"",VLOOKUP(B36,Events!$A$2:$D$209,4,0))</f>
        <v/>
      </c>
      <c r="D36" s="25"/>
      <c r="E36" s="25"/>
      <c r="F36" s="1" t="n">
        <v>35</v>
      </c>
    </row>
    <row r="37" customFormat="false" ht="14.4" hidden="false" customHeight="false" outlineLevel="0" collapsed="false">
      <c r="A37" s="1" t="n">
        <v>36</v>
      </c>
      <c r="B37" s="12"/>
      <c r="C37" s="9" t="str">
        <f aca="false">IF((B37=""),"",VLOOKUP(B37,Events!$A$2:$D$209,4,0))</f>
        <v/>
      </c>
      <c r="D37" s="25"/>
      <c r="E37" s="25"/>
      <c r="F37" s="1" t="n">
        <v>36</v>
      </c>
    </row>
    <row r="38" customFormat="false" ht="14.4" hidden="false" customHeight="false" outlineLevel="0" collapsed="false">
      <c r="A38" s="1" t="n">
        <v>37</v>
      </c>
      <c r="B38" s="12"/>
      <c r="C38" s="9" t="str">
        <f aca="false">IF((B38=""),"",VLOOKUP(B38,Events!$A$2:$D$209,4,0))</f>
        <v/>
      </c>
      <c r="D38" s="25"/>
      <c r="E38" s="25"/>
      <c r="F38" s="1" t="n">
        <v>37</v>
      </c>
    </row>
    <row r="39" customFormat="false" ht="14.4" hidden="false" customHeight="false" outlineLevel="0" collapsed="false">
      <c r="A39" s="1" t="n">
        <v>38</v>
      </c>
      <c r="B39" s="12"/>
      <c r="C39" s="9" t="str">
        <f aca="false">IF((B39=""),"",VLOOKUP(B39,Events!$A$2:$D$209,4,0))</f>
        <v/>
      </c>
      <c r="D39" s="25"/>
      <c r="E39" s="25"/>
      <c r="F39" s="1" t="n">
        <v>38</v>
      </c>
    </row>
    <row r="40" customFormat="false" ht="14.4" hidden="false" customHeight="false" outlineLevel="0" collapsed="false">
      <c r="A40" s="1" t="n">
        <v>39</v>
      </c>
      <c r="B40" s="12"/>
      <c r="C40" s="9" t="str">
        <f aca="false">IF((B40=""),"",VLOOKUP(B40,Events!$A$2:$D$209,4,0))</f>
        <v/>
      </c>
      <c r="D40" s="25"/>
      <c r="E40" s="25"/>
      <c r="F40" s="1" t="n">
        <v>39</v>
      </c>
    </row>
    <row r="41" customFormat="false" ht="14.4" hidden="false" customHeight="false" outlineLevel="0" collapsed="false">
      <c r="A41" s="1" t="n">
        <v>40</v>
      </c>
      <c r="B41" s="12"/>
      <c r="C41" s="9" t="str">
        <f aca="false">IF((B41=""),"",VLOOKUP(B41,Events!$A$2:$D$209,4,0))</f>
        <v/>
      </c>
      <c r="D41" s="25"/>
      <c r="E41" s="25"/>
      <c r="F41" s="1" t="n">
        <v>40</v>
      </c>
    </row>
    <row r="42" customFormat="false" ht="14.4" hidden="false" customHeight="false" outlineLevel="0" collapsed="false">
      <c r="A42" s="1" t="n">
        <v>41</v>
      </c>
      <c r="B42" s="12"/>
      <c r="C42" s="9" t="str">
        <f aca="false">IF((B42=""),"",VLOOKUP(B42,Events!$A$2:$D$209,4,0))</f>
        <v/>
      </c>
      <c r="D42" s="25"/>
      <c r="E42" s="25"/>
      <c r="F42" s="1" t="n">
        <v>41</v>
      </c>
    </row>
    <row r="43" customFormat="false" ht="14.4" hidden="false" customHeight="false" outlineLevel="0" collapsed="false">
      <c r="A43" s="1" t="n">
        <v>42</v>
      </c>
      <c r="B43" s="12"/>
      <c r="C43" s="9" t="str">
        <f aca="false">IF((B43=""),"",VLOOKUP(B43,Events!$A$2:$D$209,4,0))</f>
        <v/>
      </c>
      <c r="D43" s="25"/>
      <c r="E43" s="25"/>
      <c r="F43" s="1" t="n">
        <v>42</v>
      </c>
    </row>
    <row r="44" customFormat="false" ht="14.4" hidden="false" customHeight="false" outlineLevel="0" collapsed="false">
      <c r="A44" s="1" t="n">
        <v>43</v>
      </c>
      <c r="B44" s="12"/>
      <c r="C44" s="9" t="str">
        <f aca="false">IF((B44=""),"",VLOOKUP(B44,Events!$A$2:$D$209,4,0))</f>
        <v/>
      </c>
      <c r="D44" s="25"/>
      <c r="E44" s="25"/>
      <c r="F44" s="1" t="n">
        <v>43</v>
      </c>
    </row>
    <row r="45" customFormat="false" ht="14.4" hidden="false" customHeight="false" outlineLevel="0" collapsed="false">
      <c r="A45" s="1" t="n">
        <v>44</v>
      </c>
      <c r="B45" s="12"/>
      <c r="C45" s="9" t="str">
        <f aca="false">IF((B45=""),"",VLOOKUP(B45,Events!$A$2:$D$209,4,0))</f>
        <v/>
      </c>
      <c r="D45" s="25"/>
      <c r="E45" s="25"/>
      <c r="F45" s="1" t="n">
        <v>44</v>
      </c>
    </row>
    <row r="46" customFormat="false" ht="14.4" hidden="false" customHeight="false" outlineLevel="0" collapsed="false">
      <c r="A46" s="1" t="n">
        <v>45</v>
      </c>
      <c r="B46" s="12"/>
      <c r="C46" s="9" t="str">
        <f aca="false">IF((B46=""),"",VLOOKUP(B46,Events!$A$2:$D$209,4,0))</f>
        <v/>
      </c>
      <c r="D46" s="25"/>
      <c r="E46" s="25"/>
      <c r="F46" s="1" t="n">
        <v>45</v>
      </c>
    </row>
    <row r="47" customFormat="false" ht="14.4" hidden="false" customHeight="false" outlineLevel="0" collapsed="false">
      <c r="A47" s="1" t="n">
        <v>46</v>
      </c>
      <c r="B47" s="12"/>
      <c r="C47" s="9" t="str">
        <f aca="false">IF((B47=""),"",VLOOKUP(B47,Events!$A$2:$D$209,4,0))</f>
        <v/>
      </c>
      <c r="D47" s="25"/>
      <c r="E47" s="25"/>
      <c r="F47" s="1" t="n">
        <v>46</v>
      </c>
    </row>
    <row r="48" customFormat="false" ht="14.4" hidden="false" customHeight="false" outlineLevel="0" collapsed="false">
      <c r="A48" s="1" t="n">
        <v>47</v>
      </c>
      <c r="B48" s="12"/>
      <c r="C48" s="9" t="str">
        <f aca="false">IF((B48=""),"",VLOOKUP(B48,Events!$A$2:$D$209,4,0))</f>
        <v/>
      </c>
      <c r="D48" s="25"/>
      <c r="E48" s="25"/>
      <c r="F48" s="1" t="n">
        <v>47</v>
      </c>
    </row>
    <row r="49" customFormat="false" ht="14.4" hidden="false" customHeight="false" outlineLevel="0" collapsed="false">
      <c r="A49" s="1" t="n">
        <v>48</v>
      </c>
      <c r="B49" s="12"/>
      <c r="C49" s="9" t="str">
        <f aca="false">IF((B49=""),"",VLOOKUP(B49,Events!$A$2:$D$209,4,0))</f>
        <v/>
      </c>
      <c r="D49" s="25"/>
      <c r="E49" s="25"/>
      <c r="F49" s="1" t="n">
        <v>48</v>
      </c>
    </row>
    <row r="50" customFormat="false" ht="14.4" hidden="false" customHeight="false" outlineLevel="0" collapsed="false">
      <c r="A50" s="1" t="n">
        <v>49</v>
      </c>
      <c r="B50" s="12"/>
      <c r="C50" s="9" t="str">
        <f aca="false">IF((B50=""),"",VLOOKUP(B50,Events!$A$2:$D$209,4,0))</f>
        <v/>
      </c>
      <c r="D50" s="25"/>
      <c r="E50" s="25"/>
      <c r="F50" s="1" t="n">
        <v>49</v>
      </c>
    </row>
    <row r="51" customFormat="false" ht="14.4" hidden="false" customHeight="false" outlineLevel="0" collapsed="false">
      <c r="A51" s="1" t="n">
        <v>50</v>
      </c>
      <c r="B51" s="12"/>
      <c r="C51" s="9" t="str">
        <f aca="false">IF((B51=""),"",VLOOKUP(B51,Events!$A$2:$D$209,4,0))</f>
        <v/>
      </c>
      <c r="D51" s="25"/>
      <c r="E51" s="25"/>
      <c r="F51" s="1" t="n">
        <v>50</v>
      </c>
    </row>
    <row r="52" customFormat="false" ht="14.4" hidden="false" customHeight="false" outlineLevel="0" collapsed="false">
      <c r="A52" s="1" t="n">
        <v>51</v>
      </c>
      <c r="B52" s="12"/>
      <c r="C52" s="9" t="str">
        <f aca="false">IF((B52=""),"",VLOOKUP(B52,Events!$A$2:$D$209,4,0))</f>
        <v/>
      </c>
      <c r="D52" s="25"/>
      <c r="E52" s="25"/>
      <c r="F52" s="1" t="n">
        <v>51</v>
      </c>
    </row>
    <row r="53" customFormat="false" ht="14.4" hidden="false" customHeight="false" outlineLevel="0" collapsed="false">
      <c r="A53" s="1" t="n">
        <v>52</v>
      </c>
      <c r="B53" s="12"/>
      <c r="C53" s="9" t="str">
        <f aca="false">IF((B53=""),"",VLOOKUP(B53,Events!$A$2:$D$209,4,0))</f>
        <v/>
      </c>
      <c r="D53" s="25"/>
      <c r="E53" s="25"/>
      <c r="F53" s="1" t="n">
        <v>52</v>
      </c>
    </row>
    <row r="54" customFormat="false" ht="14.4" hidden="false" customHeight="false" outlineLevel="0" collapsed="false">
      <c r="A54" s="1" t="n">
        <v>53</v>
      </c>
      <c r="B54" s="12"/>
      <c r="C54" s="9" t="str">
        <f aca="false">IF((B54=""),"",VLOOKUP(B54,Events!$A$2:$D$209,4,0))</f>
        <v/>
      </c>
      <c r="D54" s="25"/>
      <c r="E54" s="25"/>
      <c r="F54" s="1" t="n">
        <v>53</v>
      </c>
    </row>
    <row r="55" customFormat="false" ht="14.4" hidden="false" customHeight="false" outlineLevel="0" collapsed="false">
      <c r="A55" s="1" t="n">
        <v>54</v>
      </c>
      <c r="B55" s="12"/>
      <c r="C55" s="9" t="str">
        <f aca="false">IF((B55=""),"",VLOOKUP(B55,Events!$A$2:$D$209,4,0))</f>
        <v/>
      </c>
      <c r="D55" s="25"/>
      <c r="E55" s="25"/>
      <c r="F55" s="1" t="n">
        <v>54</v>
      </c>
    </row>
    <row r="56" customFormat="false" ht="14.4" hidden="false" customHeight="false" outlineLevel="0" collapsed="false">
      <c r="A56" s="1" t="n">
        <v>55</v>
      </c>
      <c r="B56" s="12"/>
      <c r="C56" s="9" t="str">
        <f aca="false">IF((B56=""),"",VLOOKUP(B56,Events!$A$2:$D$209,4,0))</f>
        <v/>
      </c>
      <c r="D56" s="25"/>
      <c r="E56" s="25"/>
      <c r="F56" s="1" t="n">
        <v>55</v>
      </c>
    </row>
    <row r="57" customFormat="false" ht="14.4" hidden="false" customHeight="false" outlineLevel="0" collapsed="false">
      <c r="A57" s="1" t="n">
        <v>56</v>
      </c>
      <c r="B57" s="12"/>
      <c r="C57" s="9" t="str">
        <f aca="false">IF((B57=""),"",VLOOKUP(B57,Events!$A$2:$D$209,4,0))</f>
        <v/>
      </c>
      <c r="D57" s="25"/>
      <c r="E57" s="25"/>
      <c r="F57" s="1" t="n">
        <v>56</v>
      </c>
    </row>
    <row r="61" customFormat="false" ht="14.4" hidden="false" customHeight="false" outlineLevel="0" collapsed="false">
      <c r="D61" s="25" t="s">
        <v>94</v>
      </c>
      <c r="E61" s="25" t="s">
        <v>95</v>
      </c>
    </row>
    <row r="62" customFormat="false" ht="14.4" hidden="false" customHeight="false" outlineLevel="0" collapsed="false">
      <c r="D62" s="2" t="s">
        <v>96</v>
      </c>
      <c r="E62" s="2" t="s">
        <v>97</v>
      </c>
    </row>
    <row r="63" customFormat="false" ht="14.4" hidden="false" customHeight="false" outlineLevel="0" collapsed="false">
      <c r="D63" s="25" t="s">
        <v>98</v>
      </c>
      <c r="E63" s="25" t="s">
        <v>99</v>
      </c>
    </row>
    <row r="66" customFormat="false" ht="14.4" hidden="false" customHeight="false" outlineLevel="0" collapsed="false">
      <c r="D66" s="2" t="s">
        <v>107</v>
      </c>
      <c r="E66" s="2" t="s">
        <v>108</v>
      </c>
    </row>
    <row r="67" customFormat="false" ht="14.4" hidden="false" customHeight="false" outlineLevel="0" collapsed="false">
      <c r="D67" s="25" t="s">
        <v>100</v>
      </c>
      <c r="E67" s="25" t="s">
        <v>101</v>
      </c>
    </row>
    <row r="68" customFormat="false" ht="14.4" hidden="false" customHeight="false" outlineLevel="0" collapsed="false">
      <c r="D68" s="25" t="s">
        <v>94</v>
      </c>
      <c r="E68" s="25" t="s">
        <v>95</v>
      </c>
    </row>
    <row r="69" customFormat="false" ht="14.4" hidden="false" customHeight="false" outlineLevel="0" collapsed="false">
      <c r="D69" s="25" t="s">
        <v>100</v>
      </c>
      <c r="E69" s="25" t="s">
        <v>101</v>
      </c>
    </row>
    <row r="70" customFormat="false" ht="14.4" hidden="false" customHeight="false" outlineLevel="0" collapsed="false">
      <c r="D70" s="25" t="s">
        <v>94</v>
      </c>
      <c r="E70" s="25" t="s">
        <v>95</v>
      </c>
    </row>
    <row r="71" customFormat="false" ht="14.4" hidden="false" customHeight="false" outlineLevel="0" collapsed="false">
      <c r="D71" s="2" t="s">
        <v>102</v>
      </c>
      <c r="E71" s="2" t="s">
        <v>102</v>
      </c>
    </row>
    <row r="72" customFormat="false" ht="14.4" hidden="false" customHeight="false" outlineLevel="0" collapsed="false">
      <c r="D72" s="25" t="s">
        <v>103</v>
      </c>
      <c r="E72" s="25" t="s">
        <v>104</v>
      </c>
    </row>
  </sheetData>
  <autoFilter ref="A1:F15"/>
  <dataValidations count="1">
    <dataValidation allowBlank="true" errorStyle="stop" operator="between" showDropDown="false" showErrorMessage="true" showInputMessage="true" sqref="B2:B57" type="list">
      <formula1>Events!$A$2:$A$62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F28" activeCellId="0" sqref="F28"/>
    </sheetView>
  </sheetViews>
  <sheetFormatPr defaultColWidth="8.875" defaultRowHeight="14.4" zeroHeight="false" outlineLevelRow="0" outlineLevelCol="0"/>
  <cols>
    <col collapsed="false" customWidth="true" hidden="false" outlineLevel="0" max="1" min="1" style="2" width="7.49"/>
    <col collapsed="false" customWidth="true" hidden="false" outlineLevel="0" max="2" min="2" style="2" width="12.66"/>
    <col collapsed="false" customWidth="true" hidden="false" outlineLevel="0" max="3" min="3" style="2" width="70.65"/>
    <col collapsed="false" customWidth="true" hidden="false" outlineLevel="0" max="4" min="4" style="2" width="18.85"/>
    <col collapsed="false" customWidth="true" hidden="false" outlineLevel="0" max="5" min="5" style="2" width="63.72"/>
    <col collapsed="false" customWidth="true" hidden="false" outlineLevel="0" max="6" min="6" style="2" width="87.32"/>
    <col collapsed="false" customWidth="true" hidden="false" outlineLevel="0" max="7" min="7" style="2" width="12.66"/>
    <col collapsed="false" customWidth="false" hidden="false" outlineLevel="0" max="1024" min="8" style="2" width="8.87"/>
  </cols>
  <sheetData>
    <row r="1" s="3" customFormat="true" ht="14.4" hidden="false" customHeight="false" outlineLevel="0" collapsed="false">
      <c r="A1" s="3" t="s">
        <v>0</v>
      </c>
      <c r="B1" s="3" t="s">
        <v>109</v>
      </c>
      <c r="C1" s="3" t="s">
        <v>84</v>
      </c>
      <c r="D1" s="3" t="s">
        <v>110</v>
      </c>
      <c r="E1" s="3" t="s">
        <v>111</v>
      </c>
      <c r="F1" s="3" t="s">
        <v>112</v>
      </c>
      <c r="G1" s="3" t="s">
        <v>8</v>
      </c>
    </row>
    <row r="2" customFormat="false" ht="13.8" hidden="false" customHeight="false" outlineLevel="0" collapsed="false">
      <c r="A2" s="1" t="n">
        <v>1</v>
      </c>
      <c r="B2" s="12" t="n">
        <v>3</v>
      </c>
      <c r="C2" s="9" t="str">
        <f aca="false">IF((B2=""),"",VLOOKUP(B2,Outcomes!$A$2:$D$20,4,0))</f>
        <v>Minister's Decision</v>
      </c>
      <c r="D2" s="25" t="s">
        <v>113</v>
      </c>
      <c r="E2" s="25" t="s">
        <v>114</v>
      </c>
      <c r="F2" s="21" t="s">
        <v>115</v>
      </c>
      <c r="G2" s="1" t="n">
        <v>1</v>
      </c>
    </row>
    <row r="3" customFormat="false" ht="13.8" hidden="false" customHeight="false" outlineLevel="0" collapsed="false">
      <c r="A3" s="1" t="n">
        <v>2</v>
      </c>
      <c r="B3" s="12" t="n">
        <v>4</v>
      </c>
      <c r="C3" s="9" t="str">
        <f aca="false">IF((B3=""),"",VLOOKUP(B3,Outcomes!$A$2:$D$20,4,0))</f>
        <v>CEAO's Decision</v>
      </c>
      <c r="D3" s="25" t="s">
        <v>113</v>
      </c>
      <c r="E3" s="25" t="s">
        <v>116</v>
      </c>
      <c r="F3" s="2" t="s">
        <v>117</v>
      </c>
      <c r="G3" s="1" t="n">
        <v>2</v>
      </c>
    </row>
    <row r="4" customFormat="false" ht="14.9" hidden="false" customHeight="false" outlineLevel="0" collapsed="false">
      <c r="A4" s="1" t="n">
        <v>3</v>
      </c>
      <c r="B4" s="12" t="n">
        <v>4</v>
      </c>
      <c r="C4" s="9" t="str">
        <f aca="false">IF((B4=""),"",VLOOKUP(B4,Outcomes!$A$2:$D$20,4,0))</f>
        <v>CEAO's Decision</v>
      </c>
      <c r="D4" s="25" t="s">
        <v>118</v>
      </c>
      <c r="E4" s="25" t="s">
        <v>119</v>
      </c>
      <c r="F4" s="2" t="s">
        <v>120</v>
      </c>
      <c r="G4" s="1" t="n">
        <v>3</v>
      </c>
    </row>
    <row r="5" customFormat="false" ht="14.9" hidden="false" customHeight="false" outlineLevel="0" collapsed="false">
      <c r="A5" s="1" t="n">
        <v>4</v>
      </c>
      <c r="B5" s="12" t="n">
        <v>4</v>
      </c>
      <c r="C5" s="9" t="str">
        <f aca="false">IF((B5=""),"",VLOOKUP(B5,Outcomes!$A$2:$D$20,4,0))</f>
        <v>CEAO's Decision</v>
      </c>
      <c r="D5" s="25" t="s">
        <v>118</v>
      </c>
      <c r="E5" s="25" t="s">
        <v>121</v>
      </c>
      <c r="F5" s="2" t="s">
        <v>122</v>
      </c>
      <c r="G5" s="1" t="n">
        <v>4</v>
      </c>
    </row>
    <row r="6" customFormat="false" ht="14.9" hidden="false" customHeight="false" outlineLevel="0" collapsed="false">
      <c r="A6" s="1" t="n">
        <v>5</v>
      </c>
      <c r="B6" s="12" t="n">
        <v>4</v>
      </c>
      <c r="C6" s="9" t="str">
        <f aca="false">IF((B6=""),"",VLOOKUP(B6,Outcomes!$A$2:$D$20,4,0))</f>
        <v>CEAO's Decision</v>
      </c>
      <c r="D6" s="25" t="s">
        <v>118</v>
      </c>
      <c r="E6" s="25" t="s">
        <v>123</v>
      </c>
      <c r="F6" s="2" t="s">
        <v>124</v>
      </c>
      <c r="G6" s="1" t="n">
        <v>5</v>
      </c>
    </row>
    <row r="7" customFormat="false" ht="13.8" hidden="false" customHeight="false" outlineLevel="0" collapsed="false">
      <c r="A7" s="1" t="n">
        <v>6</v>
      </c>
      <c r="B7" s="12" t="n">
        <v>4</v>
      </c>
      <c r="C7" s="9" t="str">
        <f aca="false">IF((B7=""),"",VLOOKUP(B7,Outcomes!$A$2:$D$20,4,0))</f>
        <v>CEAO's Decision</v>
      </c>
      <c r="D7" s="25" t="s">
        <v>125</v>
      </c>
      <c r="E7" s="25" t="s">
        <v>126</v>
      </c>
      <c r="F7" s="21" t="s">
        <v>127</v>
      </c>
      <c r="G7" s="1" t="n">
        <v>6</v>
      </c>
    </row>
    <row r="8" customFormat="false" ht="13.8" hidden="false" customHeight="false" outlineLevel="0" collapsed="false">
      <c r="A8" s="1" t="n">
        <v>7</v>
      </c>
      <c r="B8" s="12" t="n">
        <v>4</v>
      </c>
      <c r="C8" s="9" t="str">
        <f aca="false">IF((B8=""),"",VLOOKUP(B8,Outcomes!$A$2:$D$20,4,0))</f>
        <v>CEAO's Decision</v>
      </c>
      <c r="D8" s="2" t="s">
        <v>128</v>
      </c>
      <c r="E8" s="25" t="s">
        <v>129</v>
      </c>
      <c r="F8" s="2" t="s">
        <v>130</v>
      </c>
      <c r="G8" s="1" t="n">
        <v>7</v>
      </c>
    </row>
    <row r="9" customFormat="false" ht="13.8" hidden="false" customHeight="false" outlineLevel="0" collapsed="false">
      <c r="A9" s="1" t="n">
        <v>8</v>
      </c>
      <c r="B9" s="12" t="n">
        <v>5</v>
      </c>
      <c r="C9" s="9" t="str">
        <f aca="false">IF((B9=""),"",VLOOKUP(B9,Outcomes!$A$2:$D$20,4,0))</f>
        <v>PN Submission Withdrawn</v>
      </c>
      <c r="D9" s="2" t="s">
        <v>128</v>
      </c>
      <c r="E9" s="2" t="s">
        <v>131</v>
      </c>
      <c r="F9" s="21" t="s">
        <v>132</v>
      </c>
      <c r="G9" s="1" t="n">
        <v>8</v>
      </c>
    </row>
    <row r="10" customFormat="false" ht="13.8" hidden="false" customHeight="false" outlineLevel="0" collapsed="false">
      <c r="A10" s="1" t="n">
        <v>9</v>
      </c>
      <c r="B10" s="12" t="n">
        <v>5</v>
      </c>
      <c r="C10" s="9" t="str">
        <f aca="false">IF((B10=""),"",VLOOKUP(B10,Outcomes!$A$2:$D$20,4,0))</f>
        <v>PN Submission Withdrawn</v>
      </c>
      <c r="D10" s="2" t="s">
        <v>125</v>
      </c>
      <c r="E10" s="2" t="s">
        <v>133</v>
      </c>
      <c r="F10" s="2" t="s">
        <v>134</v>
      </c>
      <c r="G10" s="1" t="n">
        <v>9</v>
      </c>
    </row>
    <row r="11" customFormat="false" ht="13.8" hidden="false" customHeight="false" outlineLevel="0" collapsed="false">
      <c r="A11" s="1" t="n">
        <v>10</v>
      </c>
      <c r="B11" s="12" t="n">
        <v>5</v>
      </c>
      <c r="C11" s="9" t="str">
        <f aca="false">IF((B11=""),"",VLOOKUP(B11,Outcomes!$A$2:$D$20,4,0))</f>
        <v>PN Submission Withdrawn</v>
      </c>
      <c r="D11" s="2" t="s">
        <v>135</v>
      </c>
      <c r="E11" s="2" t="s">
        <v>136</v>
      </c>
      <c r="F11" s="21" t="s">
        <v>137</v>
      </c>
      <c r="G11" s="1" t="n">
        <v>10</v>
      </c>
    </row>
    <row r="12" customFormat="false" ht="13.8" hidden="false" customHeight="false" outlineLevel="0" collapsed="false">
      <c r="A12" s="1" t="n">
        <v>11</v>
      </c>
      <c r="B12" s="12" t="n">
        <v>5</v>
      </c>
      <c r="C12" s="9" t="str">
        <f aca="false">IF((B12=""),"",VLOOKUP(B12,Outcomes!$A$2:$D$20,4,0))</f>
        <v>PN Submission Withdrawn</v>
      </c>
      <c r="D12" s="2" t="s">
        <v>138</v>
      </c>
      <c r="E12" s="2" t="s">
        <v>139</v>
      </c>
      <c r="F12" s="21" t="s">
        <v>140</v>
      </c>
      <c r="G12" s="1" t="n">
        <v>11</v>
      </c>
    </row>
    <row r="13" customFormat="false" ht="13.8" hidden="false" customHeight="false" outlineLevel="0" collapsed="false">
      <c r="A13" s="1" t="n">
        <v>12</v>
      </c>
      <c r="B13" s="12" t="n">
        <v>6</v>
      </c>
      <c r="C13" s="9" t="str">
        <f aca="false">IF((B13=""),"",VLOOKUP(B13,Outcomes!$A$2:$D$20,4,0))</f>
        <v>Delete the Intake Phase</v>
      </c>
      <c r="D13" s="2" t="s">
        <v>141</v>
      </c>
      <c r="E13" s="25" t="s">
        <v>142</v>
      </c>
      <c r="F13" s="2" t="s">
        <v>143</v>
      </c>
      <c r="G13" s="1" t="n">
        <v>12</v>
      </c>
    </row>
    <row r="14" customFormat="false" ht="13.8" hidden="false" customHeight="false" outlineLevel="0" collapsed="false">
      <c r="A14" s="1" t="n">
        <v>13</v>
      </c>
      <c r="B14" s="12" t="n">
        <v>6</v>
      </c>
      <c r="C14" s="9" t="str">
        <f aca="false">IF((B14=""),"",VLOOKUP(B14,Outcomes!$A$2:$D$20,4,0))</f>
        <v>Delete the Intake Phase</v>
      </c>
      <c r="D14" s="2" t="s">
        <v>125</v>
      </c>
      <c r="E14" s="25" t="s">
        <v>133</v>
      </c>
      <c r="F14" s="2" t="s">
        <v>134</v>
      </c>
      <c r="G14" s="1" t="n">
        <v>13</v>
      </c>
    </row>
    <row r="15" customFormat="false" ht="13.8" hidden="false" customHeight="false" outlineLevel="0" collapsed="false">
      <c r="A15" s="1" t="n">
        <v>14</v>
      </c>
      <c r="B15" s="12" t="n">
        <v>6</v>
      </c>
      <c r="C15" s="9" t="str">
        <f aca="false">IF((B15=""),"",VLOOKUP(B15,Outcomes!$A$2:$D$20,4,0))</f>
        <v>Delete the Intake Phase</v>
      </c>
      <c r="D15" s="2" t="s">
        <v>128</v>
      </c>
      <c r="E15" s="25" t="s">
        <v>144</v>
      </c>
      <c r="F15" s="2" t="s">
        <v>145</v>
      </c>
      <c r="G15" s="1" t="n">
        <v>14</v>
      </c>
    </row>
    <row r="16" customFormat="false" ht="13.8" hidden="false" customHeight="false" outlineLevel="0" collapsed="false">
      <c r="A16" s="1" t="n">
        <v>15</v>
      </c>
      <c r="B16" s="12" t="n">
        <v>7</v>
      </c>
      <c r="C16" s="9" t="str">
        <f aca="false">IF((B16=""),"",VLOOKUP(B16,Outcomes!$A$2:$D$20,4,0))</f>
        <v>Start the Review Period</v>
      </c>
      <c r="D16" s="25" t="s">
        <v>146</v>
      </c>
      <c r="E16" s="25" t="s">
        <v>147</v>
      </c>
      <c r="F16" s="2" t="s">
        <v>148</v>
      </c>
      <c r="G16" s="1" t="n">
        <v>15</v>
      </c>
    </row>
    <row r="17" customFormat="false" ht="13.8" hidden="false" customHeight="false" outlineLevel="0" collapsed="false">
      <c r="A17" s="1" t="n">
        <v>16</v>
      </c>
      <c r="B17" s="12" t="n">
        <v>8</v>
      </c>
      <c r="C17" s="9" t="str">
        <f aca="false">IF((B17=""),"",VLOOKUP(B17,Outcomes!$A$2:$D$20,4,0))</f>
        <v>Minister's Decision</v>
      </c>
      <c r="D17" s="25" t="s">
        <v>113</v>
      </c>
      <c r="E17" s="25" t="s">
        <v>114</v>
      </c>
      <c r="F17" s="21" t="s">
        <v>115</v>
      </c>
      <c r="G17" s="1" t="n">
        <v>16</v>
      </c>
    </row>
    <row r="18" customFormat="false" ht="13.8" hidden="false" customHeight="false" outlineLevel="0" collapsed="false">
      <c r="A18" s="1" t="n">
        <v>17</v>
      </c>
      <c r="B18" s="12" t="n">
        <v>9</v>
      </c>
      <c r="C18" s="9" t="str">
        <f aca="false">IF((B18=""),"",VLOOKUP(B18,Outcomes!$A$2:$D$20,4,0))</f>
        <v>CEAO's Decision</v>
      </c>
      <c r="D18" s="25" t="s">
        <v>113</v>
      </c>
      <c r="E18" s="25" t="s">
        <v>116</v>
      </c>
      <c r="F18" s="2" t="s">
        <v>117</v>
      </c>
      <c r="G18" s="1" t="n">
        <v>17</v>
      </c>
    </row>
    <row r="19" customFormat="false" ht="14.9" hidden="false" customHeight="false" outlineLevel="0" collapsed="false">
      <c r="A19" s="1" t="n">
        <v>18</v>
      </c>
      <c r="B19" s="12" t="n">
        <v>9</v>
      </c>
      <c r="C19" s="9" t="str">
        <f aca="false">IF((B19=""),"",VLOOKUP(B19,Outcomes!$A$2:$D$20,4,0))</f>
        <v>CEAO's Decision</v>
      </c>
      <c r="D19" s="25" t="s">
        <v>118</v>
      </c>
      <c r="E19" s="25" t="s">
        <v>119</v>
      </c>
      <c r="F19" s="2" t="s">
        <v>149</v>
      </c>
      <c r="G19" s="1" t="n">
        <v>18</v>
      </c>
    </row>
    <row r="20" customFormat="false" ht="14.9" hidden="false" customHeight="false" outlineLevel="0" collapsed="false">
      <c r="A20" s="1" t="n">
        <v>19</v>
      </c>
      <c r="B20" s="12" t="n">
        <v>9</v>
      </c>
      <c r="C20" s="9" t="str">
        <f aca="false">IF((B20=""),"",VLOOKUP(B20,Outcomes!$A$2:$D$20,4,0))</f>
        <v>CEAO's Decision</v>
      </c>
      <c r="D20" s="25" t="s">
        <v>118</v>
      </c>
      <c r="E20" s="25" t="s">
        <v>121</v>
      </c>
      <c r="F20" s="2" t="s">
        <v>150</v>
      </c>
      <c r="G20" s="1" t="n">
        <v>19</v>
      </c>
    </row>
    <row r="21" customFormat="false" ht="14.9" hidden="false" customHeight="false" outlineLevel="0" collapsed="false">
      <c r="A21" s="1" t="n">
        <v>20</v>
      </c>
      <c r="B21" s="12" t="n">
        <v>9</v>
      </c>
      <c r="C21" s="9" t="str">
        <f aca="false">IF((B21=""),"",VLOOKUP(B21,Outcomes!$A$2:$D$20,4,0))</f>
        <v>CEAO's Decision</v>
      </c>
      <c r="D21" s="25" t="s">
        <v>118</v>
      </c>
      <c r="E21" s="25" t="s">
        <v>123</v>
      </c>
      <c r="F21" s="2" t="s">
        <v>151</v>
      </c>
      <c r="G21" s="1" t="n">
        <v>20</v>
      </c>
    </row>
    <row r="22" customFormat="false" ht="13.8" hidden="false" customHeight="false" outlineLevel="0" collapsed="false">
      <c r="A22" s="1" t="n">
        <v>21</v>
      </c>
      <c r="B22" s="12" t="n">
        <v>9</v>
      </c>
      <c r="C22" s="9" t="str">
        <f aca="false">IF((B22=""),"",VLOOKUP(B22,Outcomes!$A$2:$D$20,4,0))</f>
        <v>CEAO's Decision</v>
      </c>
      <c r="D22" s="25" t="s">
        <v>125</v>
      </c>
      <c r="E22" s="25" t="s">
        <v>126</v>
      </c>
      <c r="F22" s="21" t="s">
        <v>152</v>
      </c>
      <c r="G22" s="1" t="n">
        <v>21</v>
      </c>
    </row>
    <row r="23" customFormat="false" ht="13.8" hidden="false" customHeight="false" outlineLevel="0" collapsed="false">
      <c r="A23" s="1" t="n">
        <v>22</v>
      </c>
      <c r="B23" s="12" t="n">
        <v>9</v>
      </c>
      <c r="C23" s="9" t="str">
        <f aca="false">IF((B23=""),"",VLOOKUP(B23,Outcomes!$A$2:$D$20,4,0))</f>
        <v>CEAO's Decision</v>
      </c>
      <c r="D23" s="2" t="s">
        <v>128</v>
      </c>
      <c r="E23" s="25" t="s">
        <v>129</v>
      </c>
      <c r="F23" s="2" t="s">
        <v>130</v>
      </c>
      <c r="G23" s="1" t="n">
        <v>22</v>
      </c>
    </row>
    <row r="24" customFormat="false" ht="13.8" hidden="false" customHeight="false" outlineLevel="0" collapsed="false">
      <c r="A24" s="1" t="n">
        <v>23</v>
      </c>
      <c r="B24" s="12" t="n">
        <v>14</v>
      </c>
      <c r="C24" s="9" t="str">
        <f aca="false">IF((B24=""),"",VLOOKUP(B24,Outcomes!$A$2:$D$20,4,0))</f>
        <v>Referred for Minister's Designation</v>
      </c>
      <c r="D24" s="2" t="s">
        <v>128</v>
      </c>
      <c r="E24" s="2" t="s">
        <v>131</v>
      </c>
      <c r="F24" s="21" t="s">
        <v>132</v>
      </c>
      <c r="G24" s="1" t="n">
        <v>23</v>
      </c>
    </row>
    <row r="25" customFormat="false" ht="13.8" hidden="false" customHeight="false" outlineLevel="0" collapsed="false">
      <c r="A25" s="1" t="n">
        <v>24</v>
      </c>
      <c r="B25" s="12" t="n">
        <v>10</v>
      </c>
      <c r="C25" s="9" t="str">
        <f aca="false">IF((B25=""),"",VLOOKUP(B25,Outcomes!$A$2:$D$20,4,0))</f>
        <v>PN is Terminated (s.39)</v>
      </c>
      <c r="D25" s="25" t="s">
        <v>128</v>
      </c>
      <c r="E25" s="25" t="s">
        <v>131</v>
      </c>
      <c r="F25" s="21" t="s">
        <v>132</v>
      </c>
      <c r="G25" s="1" t="n">
        <v>24</v>
      </c>
    </row>
    <row r="26" customFormat="false" ht="13.8" hidden="false" customHeight="false" outlineLevel="0" collapsed="false">
      <c r="A26" s="1" t="n">
        <v>25</v>
      </c>
      <c r="B26" s="12" t="n">
        <v>10</v>
      </c>
      <c r="C26" s="9" t="str">
        <f aca="false">IF((B26=""),"",VLOOKUP(B26,Outcomes!$A$2:$D$20,4,0))</f>
        <v>PN is Terminated (s.39)</v>
      </c>
      <c r="D26" s="2" t="s">
        <v>125</v>
      </c>
      <c r="E26" s="25" t="s">
        <v>133</v>
      </c>
      <c r="F26" s="2" t="s">
        <v>134</v>
      </c>
      <c r="G26" s="1" t="n">
        <v>25</v>
      </c>
    </row>
    <row r="27" customFormat="false" ht="13.8" hidden="false" customHeight="false" outlineLevel="0" collapsed="false">
      <c r="A27" s="1" t="n">
        <v>26</v>
      </c>
      <c r="B27" s="12" t="n">
        <v>10</v>
      </c>
      <c r="C27" s="9" t="str">
        <f aca="false">IF((B27=""),"",VLOOKUP(B27,Outcomes!$A$2:$D$20,4,0))</f>
        <v>PN is Terminated (s.39)</v>
      </c>
      <c r="D27" s="25" t="s">
        <v>135</v>
      </c>
      <c r="E27" s="25" t="s">
        <v>153</v>
      </c>
      <c r="F27" s="2" t="s">
        <v>154</v>
      </c>
      <c r="G27" s="1" t="n">
        <v>26</v>
      </c>
    </row>
    <row r="28" customFormat="false" ht="13.8" hidden="false" customHeight="false" outlineLevel="0" collapsed="false">
      <c r="A28" s="1" t="n">
        <v>27</v>
      </c>
      <c r="B28" s="12" t="n">
        <v>10</v>
      </c>
      <c r="C28" s="9" t="str">
        <f aca="false">IF((B28=""),"",VLOOKUP(B28,Outcomes!$A$2:$D$20,4,0))</f>
        <v>PN is Terminated (s.39)</v>
      </c>
      <c r="D28" s="25" t="s">
        <v>138</v>
      </c>
      <c r="E28" s="25" t="s">
        <v>139</v>
      </c>
      <c r="F28" s="21" t="s">
        <v>140</v>
      </c>
      <c r="G28" s="1" t="n">
        <v>27</v>
      </c>
    </row>
    <row r="29" customFormat="false" ht="13.8" hidden="false" customHeight="false" outlineLevel="0" collapsed="false">
      <c r="A29" s="1" t="n">
        <v>28</v>
      </c>
      <c r="B29" s="12" t="n">
        <v>11</v>
      </c>
      <c r="C29" s="9" t="str">
        <f aca="false">IF((B29=""),"",VLOOKUP(B29,Outcomes!$A$2:$D$20,4,0))</f>
        <v>PN Submission Withdrawn</v>
      </c>
      <c r="D29" s="2" t="s">
        <v>128</v>
      </c>
      <c r="E29" s="2" t="s">
        <v>131</v>
      </c>
      <c r="F29" s="21" t="s">
        <v>132</v>
      </c>
      <c r="G29" s="1" t="n">
        <v>28</v>
      </c>
    </row>
    <row r="30" customFormat="false" ht="13.8" hidden="false" customHeight="false" outlineLevel="0" collapsed="false">
      <c r="A30" s="1" t="n">
        <v>29</v>
      </c>
      <c r="B30" s="12" t="n">
        <v>11</v>
      </c>
      <c r="C30" s="9" t="str">
        <f aca="false">IF((B30=""),"",VLOOKUP(B30,Outcomes!$A$2:$D$20,4,0))</f>
        <v>PN Submission Withdrawn</v>
      </c>
      <c r="D30" s="2" t="s">
        <v>125</v>
      </c>
      <c r="E30" s="2" t="s">
        <v>133</v>
      </c>
      <c r="F30" s="2" t="s">
        <v>134</v>
      </c>
      <c r="G30" s="1" t="n">
        <v>29</v>
      </c>
    </row>
    <row r="31" customFormat="false" ht="13.8" hidden="false" customHeight="false" outlineLevel="0" collapsed="false">
      <c r="A31" s="1" t="n">
        <v>30</v>
      </c>
      <c r="B31" s="12" t="n">
        <v>11</v>
      </c>
      <c r="C31" s="9" t="str">
        <f aca="false">IF((B31=""),"",VLOOKUP(B31,Outcomes!$A$2:$D$20,4,0))</f>
        <v>PN Submission Withdrawn</v>
      </c>
      <c r="D31" s="2" t="s">
        <v>135</v>
      </c>
      <c r="E31" s="2" t="s">
        <v>136</v>
      </c>
      <c r="F31" s="21" t="s">
        <v>137</v>
      </c>
      <c r="G31" s="1" t="n">
        <v>30</v>
      </c>
    </row>
    <row r="32" customFormat="false" ht="13.8" hidden="false" customHeight="false" outlineLevel="0" collapsed="false">
      <c r="A32" s="1" t="n">
        <v>31</v>
      </c>
      <c r="B32" s="12" t="n">
        <v>11</v>
      </c>
      <c r="C32" s="9" t="str">
        <f aca="false">IF((B32=""),"",VLOOKUP(B32,Outcomes!$A$2:$D$20,4,0))</f>
        <v>PN Submission Withdrawn</v>
      </c>
      <c r="D32" s="2" t="s">
        <v>138</v>
      </c>
      <c r="E32" s="2" t="s">
        <v>139</v>
      </c>
      <c r="F32" s="21" t="s">
        <v>140</v>
      </c>
      <c r="G32" s="1" t="n">
        <v>31</v>
      </c>
    </row>
    <row r="33" customFormat="false" ht="13.8" hidden="false" customHeight="false" outlineLevel="0" collapsed="false">
      <c r="A33" s="1" t="n">
        <v>32</v>
      </c>
      <c r="B33" s="12" t="n">
        <v>12</v>
      </c>
      <c r="C33" s="9" t="str">
        <f aca="false">IF((B33=""),"",VLOOKUP(B33,Outcomes!$A$2:$D$20,4,0))</f>
        <v>No Further Review Required</v>
      </c>
      <c r="D33" s="2" t="s">
        <v>135</v>
      </c>
      <c r="E33" s="25" t="s">
        <v>155</v>
      </c>
      <c r="F33" s="2" t="s">
        <v>156</v>
      </c>
      <c r="G33" s="1" t="n">
        <v>32</v>
      </c>
    </row>
    <row r="34" customFormat="false" ht="13.8" hidden="false" customHeight="false" outlineLevel="0" collapsed="false">
      <c r="A34" s="1" t="n">
        <v>33</v>
      </c>
      <c r="B34" s="12" t="n">
        <v>12</v>
      </c>
      <c r="C34" s="9" t="str">
        <f aca="false">IF((B34=""),"",VLOOKUP(B34,Outcomes!$A$2:$D$20,4,0))</f>
        <v>No Further Review Required</v>
      </c>
      <c r="D34" s="25" t="s">
        <v>138</v>
      </c>
      <c r="E34" s="2" t="s">
        <v>139</v>
      </c>
      <c r="F34" s="21" t="s">
        <v>140</v>
      </c>
      <c r="G34" s="1" t="n">
        <v>33</v>
      </c>
    </row>
    <row r="35" customFormat="false" ht="13.8" hidden="false" customHeight="false" outlineLevel="0" collapsed="false">
      <c r="A35" s="1" t="n">
        <v>34</v>
      </c>
      <c r="B35" s="12" t="n">
        <v>13</v>
      </c>
      <c r="C35" s="9" t="str">
        <f aca="false">IF((B35=""),"",VLOOKUP(B35,Outcomes!$A$2:$D$20,4,0))</f>
        <v>Revised PN Submission Required</v>
      </c>
      <c r="D35" s="4" t="s">
        <v>157</v>
      </c>
      <c r="E35" s="25" t="s">
        <v>158</v>
      </c>
      <c r="F35" s="21" t="s">
        <v>159</v>
      </c>
      <c r="G35" s="1" t="n">
        <v>34</v>
      </c>
    </row>
    <row r="36" customFormat="false" ht="13.8" hidden="false" customHeight="false" outlineLevel="0" collapsed="false">
      <c r="A36" s="1" t="n">
        <v>35</v>
      </c>
      <c r="B36" s="12" t="n">
        <v>13</v>
      </c>
      <c r="C36" s="9" t="str">
        <f aca="false">IF((B36=""),"",VLOOKUP(B36,Outcomes!$A$2:$D$20,4,0))</f>
        <v>Revised PN Submission Required</v>
      </c>
      <c r="D36" s="25" t="s">
        <v>141</v>
      </c>
      <c r="E36" s="25" t="s">
        <v>160</v>
      </c>
      <c r="F36" s="21" t="s">
        <v>161</v>
      </c>
      <c r="G36" s="1" t="n">
        <v>35</v>
      </c>
    </row>
    <row r="37" customFormat="false" ht="13.8" hidden="false" customHeight="false" outlineLevel="0" collapsed="false">
      <c r="A37" s="1" t="n">
        <v>36</v>
      </c>
      <c r="B37" s="12" t="n">
        <v>13</v>
      </c>
      <c r="C37" s="9" t="str">
        <f aca="false">IF((B37=""),"",VLOOKUP(B37,Outcomes!$A$2:$D$20,4,0))</f>
        <v>Revised PN Submission Required</v>
      </c>
      <c r="D37" s="4" t="s">
        <v>162</v>
      </c>
      <c r="E37" s="25" t="s">
        <v>163</v>
      </c>
      <c r="F37" s="2" t="s">
        <v>164</v>
      </c>
      <c r="G37" s="1" t="n">
        <v>36</v>
      </c>
    </row>
    <row r="38" customFormat="false" ht="13.8" hidden="false" customHeight="false" outlineLevel="0" collapsed="false">
      <c r="A38" s="1" t="n">
        <v>37</v>
      </c>
      <c r="B38" s="12" t="n">
        <v>13</v>
      </c>
      <c r="C38" s="9" t="str">
        <f aca="false">IF((B38=""),"",VLOOKUP(B38,Outcomes!$A$2:$D$20,4,0))</f>
        <v>Revised PN Submission Required</v>
      </c>
      <c r="D38" s="4" t="s">
        <v>162</v>
      </c>
      <c r="E38" s="25" t="s">
        <v>165</v>
      </c>
      <c r="F38" s="21" t="s">
        <v>166</v>
      </c>
      <c r="G38" s="1" t="n">
        <v>37</v>
      </c>
    </row>
    <row r="39" customFormat="false" ht="13.8" hidden="false" customHeight="false" outlineLevel="0" collapsed="false">
      <c r="A39" s="1" t="n">
        <v>38</v>
      </c>
      <c r="B39" s="12" t="n">
        <v>13</v>
      </c>
      <c r="C39" s="9" t="str">
        <f aca="false">IF((B39=""),"",VLOOKUP(B39,Outcomes!$A$2:$D$20,4,0))</f>
        <v>Revised PN Submission Required</v>
      </c>
      <c r="D39" s="2" t="s">
        <v>125</v>
      </c>
      <c r="E39" s="25" t="s">
        <v>167</v>
      </c>
      <c r="F39" s="21" t="s">
        <v>168</v>
      </c>
      <c r="G39" s="1" t="n">
        <v>38</v>
      </c>
    </row>
    <row r="40" customFormat="false" ht="13.8" hidden="false" customHeight="false" outlineLevel="0" collapsed="false">
      <c r="A40" s="1" t="n">
        <v>39</v>
      </c>
      <c r="B40" s="12" t="n">
        <v>13</v>
      </c>
      <c r="C40" s="9" t="str">
        <f aca="false">IF((B40=""),"",VLOOKUP(B40,Outcomes!$A$2:$D$20,4,0))</f>
        <v>Revised PN Submission Required</v>
      </c>
      <c r="D40" s="4" t="s">
        <v>162</v>
      </c>
      <c r="E40" s="25" t="s">
        <v>169</v>
      </c>
      <c r="F40" s="21" t="s">
        <v>170</v>
      </c>
      <c r="G40" s="1" t="n">
        <v>39</v>
      </c>
    </row>
    <row r="41" customFormat="false" ht="13.8" hidden="false" customHeight="false" outlineLevel="0" collapsed="false">
      <c r="A41" s="1" t="n">
        <v>40</v>
      </c>
      <c r="B41" s="12" t="n">
        <v>13</v>
      </c>
      <c r="C41" s="9" t="str">
        <f aca="false">IF((B41=""),"",VLOOKUP(B41,Outcomes!$A$2:$D$20,4,0))</f>
        <v>Revised PN Submission Required</v>
      </c>
      <c r="D41" s="4" t="s">
        <v>162</v>
      </c>
      <c r="E41" s="25" t="s">
        <v>171</v>
      </c>
      <c r="F41" s="21" t="s">
        <v>172</v>
      </c>
      <c r="G41" s="1" t="n">
        <v>40</v>
      </c>
    </row>
    <row r="42" customFormat="false" ht="13.8" hidden="false" customHeight="false" outlineLevel="0" collapsed="false">
      <c r="A42" s="1" t="n">
        <v>41</v>
      </c>
      <c r="B42" s="12" t="n">
        <v>13</v>
      </c>
      <c r="C42" s="9" t="str">
        <f aca="false">IF((B42=""),"",VLOOKUP(B42,Outcomes!$A$2:$D$20,4,0))</f>
        <v>Revised PN Submission Required</v>
      </c>
      <c r="D42" s="4" t="s">
        <v>162</v>
      </c>
      <c r="E42" s="25" t="s">
        <v>173</v>
      </c>
      <c r="F42" s="21" t="s">
        <v>174</v>
      </c>
      <c r="G42" s="1" t="n">
        <v>41</v>
      </c>
    </row>
    <row r="43" customFormat="false" ht="13.8" hidden="false" customHeight="false" outlineLevel="0" collapsed="false">
      <c r="A43" s="1" t="n">
        <v>42</v>
      </c>
      <c r="B43" s="12" t="n">
        <v>13</v>
      </c>
      <c r="C43" s="9" t="str">
        <f aca="false">IF((B43=""),"",VLOOKUP(B43,Outcomes!$A$2:$D$20,4,0))</f>
        <v>Revised PN Submission Required</v>
      </c>
      <c r="D43" s="25" t="s">
        <v>118</v>
      </c>
      <c r="E43" s="25" t="s">
        <v>175</v>
      </c>
      <c r="F43" s="21" t="s">
        <v>176</v>
      </c>
      <c r="G43" s="1" t="n">
        <v>42</v>
      </c>
    </row>
    <row r="44" customFormat="false" ht="13.8" hidden="false" customHeight="false" outlineLevel="0" collapsed="false">
      <c r="A44" s="1" t="n">
        <v>43</v>
      </c>
      <c r="B44" s="12" t="n">
        <v>13</v>
      </c>
      <c r="C44" s="9" t="str">
        <f aca="false">IF((B44=""),"",VLOOKUP(B44,Outcomes!$A$2:$D$20,4,0))</f>
        <v>Revised PN Submission Required</v>
      </c>
      <c r="D44" s="25" t="s">
        <v>118</v>
      </c>
      <c r="E44" s="25" t="s">
        <v>177</v>
      </c>
      <c r="F44" s="21" t="s">
        <v>178</v>
      </c>
      <c r="G44" s="1" t="n">
        <v>43</v>
      </c>
    </row>
    <row r="45" customFormat="false" ht="13.8" hidden="false" customHeight="false" outlineLevel="0" collapsed="false">
      <c r="A45" s="1" t="n">
        <v>44</v>
      </c>
      <c r="B45" s="12" t="n">
        <v>14</v>
      </c>
      <c r="C45" s="9" t="str">
        <f aca="false">IF((B45=""),"",VLOOKUP(B45,Outcomes!$A$2:$D$20,4,0))</f>
        <v>Referred for Minister's Designation</v>
      </c>
      <c r="D45" s="2" t="s">
        <v>135</v>
      </c>
      <c r="E45" s="25" t="s">
        <v>155</v>
      </c>
      <c r="F45" s="2" t="s">
        <v>156</v>
      </c>
      <c r="G45" s="1" t="n">
        <v>44</v>
      </c>
    </row>
    <row r="46" customFormat="false" ht="13.8" hidden="false" customHeight="false" outlineLevel="0" collapsed="false">
      <c r="A46" s="1" t="n">
        <v>45</v>
      </c>
      <c r="B46" s="12" t="n">
        <v>15</v>
      </c>
      <c r="C46" s="9" t="str">
        <f aca="false">IF((B46=""),"",VLOOKUP(B46,Outcomes!$A$2:$D$20,4,0))</f>
        <v>PN is Terminated (s.39)</v>
      </c>
      <c r="D46" s="25" t="s">
        <v>128</v>
      </c>
      <c r="E46" s="25" t="s">
        <v>131</v>
      </c>
      <c r="F46" s="21" t="s">
        <v>132</v>
      </c>
      <c r="G46" s="1" t="n">
        <v>45</v>
      </c>
    </row>
    <row r="47" customFormat="false" ht="13.8" hidden="false" customHeight="false" outlineLevel="0" collapsed="false">
      <c r="A47" s="1" t="n">
        <v>46</v>
      </c>
      <c r="B47" s="12" t="n">
        <v>15</v>
      </c>
      <c r="C47" s="9" t="str">
        <f aca="false">IF((B47=""),"",VLOOKUP(B47,Outcomes!$A$2:$D$20,4,0))</f>
        <v>PN is Terminated (s.39)</v>
      </c>
      <c r="D47" s="2" t="s">
        <v>125</v>
      </c>
      <c r="E47" s="25" t="s">
        <v>133</v>
      </c>
      <c r="F47" s="2" t="s">
        <v>134</v>
      </c>
      <c r="G47" s="1" t="n">
        <v>46</v>
      </c>
    </row>
    <row r="48" customFormat="false" ht="13.8" hidden="false" customHeight="false" outlineLevel="0" collapsed="false">
      <c r="A48" s="1" t="n">
        <v>47</v>
      </c>
      <c r="B48" s="12" t="n">
        <v>15</v>
      </c>
      <c r="C48" s="9" t="str">
        <f aca="false">IF((B48=""),"",VLOOKUP(B48,Outcomes!$A$2:$D$20,4,0))</f>
        <v>PN is Terminated (s.39)</v>
      </c>
      <c r="D48" s="25" t="s">
        <v>135</v>
      </c>
      <c r="E48" s="25" t="s">
        <v>153</v>
      </c>
      <c r="F48" s="21" t="s">
        <v>154</v>
      </c>
      <c r="G48" s="1" t="n">
        <v>47</v>
      </c>
    </row>
    <row r="49" customFormat="false" ht="13.8" hidden="false" customHeight="false" outlineLevel="0" collapsed="false">
      <c r="A49" s="1" t="n">
        <v>48</v>
      </c>
      <c r="B49" s="12" t="n">
        <v>15</v>
      </c>
      <c r="C49" s="9" t="str">
        <f aca="false">IF((B49=""),"",VLOOKUP(B49,Outcomes!$A$2:$D$20,4,0))</f>
        <v>PN is Terminated (s.39)</v>
      </c>
      <c r="D49" s="25" t="s">
        <v>138</v>
      </c>
      <c r="E49" s="25" t="s">
        <v>139</v>
      </c>
      <c r="F49" s="21" t="s">
        <v>140</v>
      </c>
      <c r="G49" s="1" t="n">
        <v>48</v>
      </c>
    </row>
    <row r="50" customFormat="false" ht="13.8" hidden="false" customHeight="false" outlineLevel="0" collapsed="false">
      <c r="A50" s="1" t="n">
        <v>49</v>
      </c>
      <c r="B50" s="12" t="n">
        <v>16</v>
      </c>
      <c r="C50" s="9" t="str">
        <f aca="false">IF((B50=""),"",VLOOKUP(B50,Outcomes!$A$2:$D$20,4,0))</f>
        <v>PN Submission Withdrawn</v>
      </c>
      <c r="D50" s="2" t="s">
        <v>128</v>
      </c>
      <c r="E50" s="2" t="s">
        <v>131</v>
      </c>
      <c r="F50" s="21" t="s">
        <v>132</v>
      </c>
      <c r="G50" s="1" t="n">
        <v>49</v>
      </c>
    </row>
    <row r="51" customFormat="false" ht="13.8" hidden="false" customHeight="false" outlineLevel="0" collapsed="false">
      <c r="A51" s="1" t="n">
        <v>50</v>
      </c>
      <c r="B51" s="12" t="n">
        <v>16</v>
      </c>
      <c r="C51" s="9" t="str">
        <f aca="false">IF((B51=""),"",VLOOKUP(B51,Outcomes!$A$2:$D$20,4,0))</f>
        <v>PN Submission Withdrawn</v>
      </c>
      <c r="D51" s="2" t="s">
        <v>125</v>
      </c>
      <c r="E51" s="2" t="s">
        <v>133</v>
      </c>
      <c r="F51" s="2" t="s">
        <v>134</v>
      </c>
      <c r="G51" s="1" t="n">
        <v>50</v>
      </c>
    </row>
    <row r="52" customFormat="false" ht="13.8" hidden="false" customHeight="false" outlineLevel="0" collapsed="false">
      <c r="A52" s="1" t="n">
        <v>51</v>
      </c>
      <c r="B52" s="12" t="n">
        <v>16</v>
      </c>
      <c r="C52" s="9" t="str">
        <f aca="false">IF((B52=""),"",VLOOKUP(B52,Outcomes!$A$2:$D$20,4,0))</f>
        <v>PN Submission Withdrawn</v>
      </c>
      <c r="D52" s="2" t="s">
        <v>135</v>
      </c>
      <c r="E52" s="2" t="s">
        <v>136</v>
      </c>
      <c r="F52" s="21" t="s">
        <v>137</v>
      </c>
      <c r="G52" s="1" t="n">
        <v>51</v>
      </c>
    </row>
    <row r="53" customFormat="false" ht="13.8" hidden="false" customHeight="false" outlineLevel="0" collapsed="false">
      <c r="A53" s="1" t="n">
        <v>52</v>
      </c>
      <c r="B53" s="12" t="n">
        <v>16</v>
      </c>
      <c r="C53" s="9" t="str">
        <f aca="false">IF((B53=""),"",VLOOKUP(B53,Outcomes!$A$2:$D$20,4,0))</f>
        <v>PN Submission Withdrawn</v>
      </c>
      <c r="D53" s="2" t="s">
        <v>138</v>
      </c>
      <c r="E53" s="2" t="s">
        <v>139</v>
      </c>
      <c r="F53" s="21" t="s">
        <v>140</v>
      </c>
      <c r="G53" s="1" t="n">
        <v>52</v>
      </c>
    </row>
    <row r="54" customFormat="false" ht="13.8" hidden="false" customHeight="false" outlineLevel="0" collapsed="false">
      <c r="A54" s="1" t="n">
        <v>53</v>
      </c>
      <c r="B54" s="12" t="n">
        <v>17</v>
      </c>
      <c r="C54" s="9" t="str">
        <f aca="false">IF((B54=""),"",VLOOKUP(B54,Outcomes!$A$2:$D$20,4,0))</f>
        <v>No Further Review Required</v>
      </c>
      <c r="D54" s="2" t="s">
        <v>135</v>
      </c>
      <c r="E54" s="25" t="s">
        <v>155</v>
      </c>
      <c r="F54" s="2" t="s">
        <v>156</v>
      </c>
      <c r="G54" s="1" t="n">
        <v>53</v>
      </c>
    </row>
    <row r="55" customFormat="false" ht="13.8" hidden="false" customHeight="false" outlineLevel="0" collapsed="false">
      <c r="A55" s="1" t="n">
        <v>54</v>
      </c>
      <c r="B55" s="12" t="n">
        <v>17</v>
      </c>
      <c r="C55" s="9" t="str">
        <f aca="false">IF((B55=""),"",VLOOKUP(B55,Outcomes!$A$2:$D$20,4,0))</f>
        <v>No Further Review Required</v>
      </c>
      <c r="D55" s="25" t="s">
        <v>138</v>
      </c>
      <c r="E55" s="2" t="s">
        <v>139</v>
      </c>
      <c r="F55" s="21" t="s">
        <v>140</v>
      </c>
      <c r="G55" s="1" t="n">
        <v>54</v>
      </c>
    </row>
    <row r="56" customFormat="false" ht="13.8" hidden="false" customHeight="false" outlineLevel="0" collapsed="false">
      <c r="A56" s="1" t="n">
        <v>55</v>
      </c>
      <c r="B56" s="12" t="n">
        <v>18</v>
      </c>
      <c r="C56" s="9" t="str">
        <f aca="false">IF((B56=""),"",VLOOKUP(B56,Outcomes!$A$2:$D$20,4,0))</f>
        <v>Revised PN Submission Required</v>
      </c>
      <c r="D56" s="4" t="s">
        <v>157</v>
      </c>
      <c r="E56" s="25" t="s">
        <v>158</v>
      </c>
      <c r="F56" s="21" t="s">
        <v>159</v>
      </c>
      <c r="G56" s="1" t="n">
        <v>55</v>
      </c>
    </row>
    <row r="57" customFormat="false" ht="13.8" hidden="false" customHeight="false" outlineLevel="0" collapsed="false">
      <c r="A57" s="1" t="n">
        <v>56</v>
      </c>
      <c r="B57" s="12" t="n">
        <v>13</v>
      </c>
      <c r="C57" s="9" t="str">
        <f aca="false">IF((B57=""),"",VLOOKUP(B57,Outcomes!$A$2:$D$20,4,0))</f>
        <v>Revised PN Submission Required</v>
      </c>
      <c r="D57" s="25" t="s">
        <v>141</v>
      </c>
      <c r="E57" s="25" t="s">
        <v>160</v>
      </c>
      <c r="F57" s="21" t="s">
        <v>161</v>
      </c>
      <c r="G57" s="1" t="n">
        <v>56</v>
      </c>
    </row>
    <row r="58" customFormat="false" ht="13.8" hidden="false" customHeight="false" outlineLevel="0" collapsed="false">
      <c r="A58" s="1" t="n">
        <v>57</v>
      </c>
      <c r="B58" s="12" t="n">
        <v>18</v>
      </c>
      <c r="C58" s="9" t="str">
        <f aca="false">IF((B58=""),"",VLOOKUP(B58,Outcomes!$A$2:$D$20,4,0))</f>
        <v>Revised PN Submission Required</v>
      </c>
      <c r="D58" s="4" t="s">
        <v>162</v>
      </c>
      <c r="E58" s="25" t="s">
        <v>163</v>
      </c>
      <c r="F58" s="2" t="s">
        <v>164</v>
      </c>
      <c r="G58" s="1" t="n">
        <v>57</v>
      </c>
    </row>
    <row r="59" customFormat="false" ht="13.8" hidden="false" customHeight="false" outlineLevel="0" collapsed="false">
      <c r="A59" s="1" t="n">
        <v>58</v>
      </c>
      <c r="B59" s="12" t="n">
        <v>18</v>
      </c>
      <c r="C59" s="9" t="str">
        <f aca="false">IF((B59=""),"",VLOOKUP(B59,Outcomes!$A$2:$D$20,4,0))</f>
        <v>Revised PN Submission Required</v>
      </c>
      <c r="D59" s="4" t="s">
        <v>162</v>
      </c>
      <c r="E59" s="25" t="s">
        <v>165</v>
      </c>
      <c r="F59" s="21" t="s">
        <v>166</v>
      </c>
      <c r="G59" s="1" t="n">
        <v>58</v>
      </c>
    </row>
    <row r="60" customFormat="false" ht="13.8" hidden="false" customHeight="false" outlineLevel="0" collapsed="false">
      <c r="A60" s="1" t="n">
        <v>59</v>
      </c>
      <c r="B60" s="12" t="n">
        <v>18</v>
      </c>
      <c r="C60" s="9" t="str">
        <f aca="false">IF((B60=""),"",VLOOKUP(B60,Outcomes!$A$2:$D$20,4,0))</f>
        <v>Revised PN Submission Required</v>
      </c>
      <c r="D60" s="2" t="s">
        <v>125</v>
      </c>
      <c r="E60" s="25" t="s">
        <v>167</v>
      </c>
      <c r="F60" s="21" t="s">
        <v>168</v>
      </c>
      <c r="G60" s="1" t="n">
        <v>59</v>
      </c>
    </row>
    <row r="61" customFormat="false" ht="13.8" hidden="false" customHeight="false" outlineLevel="0" collapsed="false">
      <c r="A61" s="1" t="n">
        <v>60</v>
      </c>
      <c r="B61" s="12" t="n">
        <v>18</v>
      </c>
      <c r="C61" s="9" t="str">
        <f aca="false">IF((B61=""),"",VLOOKUP(B61,Outcomes!$A$2:$D$20,4,0))</f>
        <v>Revised PN Submission Required</v>
      </c>
      <c r="D61" s="4" t="s">
        <v>162</v>
      </c>
      <c r="E61" s="25" t="s">
        <v>169</v>
      </c>
      <c r="F61" s="21" t="s">
        <v>170</v>
      </c>
      <c r="G61" s="1" t="n">
        <v>60</v>
      </c>
    </row>
    <row r="62" customFormat="false" ht="13.8" hidden="false" customHeight="false" outlineLevel="0" collapsed="false">
      <c r="A62" s="1" t="n">
        <v>61</v>
      </c>
      <c r="B62" s="12" t="n">
        <v>18</v>
      </c>
      <c r="C62" s="9" t="str">
        <f aca="false">IF((B62=""),"",VLOOKUP(B62,Outcomes!$A$2:$D$20,4,0))</f>
        <v>Revised PN Submission Required</v>
      </c>
      <c r="D62" s="4" t="s">
        <v>162</v>
      </c>
      <c r="E62" s="25" t="s">
        <v>171</v>
      </c>
      <c r="F62" s="21" t="s">
        <v>172</v>
      </c>
      <c r="G62" s="1" t="n">
        <v>61</v>
      </c>
    </row>
    <row r="63" customFormat="false" ht="13.8" hidden="false" customHeight="false" outlineLevel="0" collapsed="false">
      <c r="A63" s="1" t="n">
        <v>62</v>
      </c>
      <c r="B63" s="12" t="n">
        <v>18</v>
      </c>
      <c r="C63" s="9" t="str">
        <f aca="false">IF((B63=""),"",VLOOKUP(B63,Outcomes!$A$2:$D$20,4,0))</f>
        <v>Revised PN Submission Required</v>
      </c>
      <c r="D63" s="4" t="s">
        <v>162</v>
      </c>
      <c r="E63" s="25" t="s">
        <v>173</v>
      </c>
      <c r="F63" s="21" t="s">
        <v>174</v>
      </c>
      <c r="G63" s="1" t="n">
        <v>62</v>
      </c>
    </row>
    <row r="64" customFormat="false" ht="13.8" hidden="false" customHeight="false" outlineLevel="0" collapsed="false">
      <c r="A64" s="1" t="n">
        <v>63</v>
      </c>
      <c r="B64" s="12" t="n">
        <v>18</v>
      </c>
      <c r="C64" s="9" t="str">
        <f aca="false">IF((B64=""),"",VLOOKUP(B64,Outcomes!$A$2:$D$20,4,0))</f>
        <v>Revised PN Submission Required</v>
      </c>
      <c r="D64" s="25" t="s">
        <v>118</v>
      </c>
      <c r="E64" s="25" t="s">
        <v>175</v>
      </c>
      <c r="F64" s="21" t="s">
        <v>179</v>
      </c>
      <c r="G64" s="1" t="n">
        <v>63</v>
      </c>
    </row>
    <row r="65" customFormat="false" ht="13.8" hidden="false" customHeight="false" outlineLevel="0" collapsed="false">
      <c r="A65" s="1" t="n">
        <v>64</v>
      </c>
      <c r="B65" s="12" t="n">
        <v>18</v>
      </c>
      <c r="C65" s="9" t="str">
        <f aca="false">IF((B65=""),"",VLOOKUP(B65,Outcomes!$A$2:$D$20,4,0))</f>
        <v>Revised PN Submission Required</v>
      </c>
      <c r="D65" s="25" t="s">
        <v>118</v>
      </c>
      <c r="E65" s="25" t="s">
        <v>177</v>
      </c>
      <c r="F65" s="21" t="s">
        <v>178</v>
      </c>
      <c r="G65" s="1" t="n">
        <v>64</v>
      </c>
    </row>
    <row r="66" customFormat="false" ht="13.8" hidden="false" customHeight="false" outlineLevel="0" collapsed="false">
      <c r="A66" s="1" t="n">
        <v>65</v>
      </c>
      <c r="B66" s="12" t="n">
        <v>19</v>
      </c>
      <c r="C66" s="9" t="str">
        <f aca="false">IF((B66=""),"",VLOOKUP(B66,Outcomes!$A$2:$D$20,4,0))</f>
        <v>Referred for Minister's Designation</v>
      </c>
      <c r="D66" s="2" t="s">
        <v>135</v>
      </c>
      <c r="E66" s="25" t="s">
        <v>155</v>
      </c>
      <c r="F66" s="2" t="s">
        <v>156</v>
      </c>
      <c r="G66" s="1" t="n">
        <v>65</v>
      </c>
    </row>
    <row r="67" customFormat="false" ht="13.8" hidden="false" customHeight="false" outlineLevel="0" collapsed="false">
      <c r="A67" s="1" t="n">
        <v>66</v>
      </c>
      <c r="B67" s="12"/>
      <c r="C67" s="9" t="str">
        <f aca="false">IF((B67=""),"",VLOOKUP(B67,Outcomes!$A$2:$D$20,4,0))</f>
        <v/>
      </c>
      <c r="E67" s="25"/>
      <c r="G67" s="1" t="n">
        <v>66</v>
      </c>
    </row>
    <row r="68" customFormat="false" ht="13.8" hidden="false" customHeight="false" outlineLevel="0" collapsed="false">
      <c r="A68" s="1" t="n">
        <v>67</v>
      </c>
      <c r="B68" s="12"/>
      <c r="C68" s="9" t="str">
        <f aca="false">IF((B68=""),"",VLOOKUP(B68,Outcomes!$A$2:$D$20,4,0))</f>
        <v/>
      </c>
      <c r="E68" s="25"/>
      <c r="G68" s="1" t="n">
        <v>67</v>
      </c>
    </row>
    <row r="69" customFormat="false" ht="13.8" hidden="false" customHeight="false" outlineLevel="0" collapsed="false">
      <c r="A69" s="1" t="n">
        <v>68</v>
      </c>
      <c r="B69" s="12"/>
      <c r="C69" s="9" t="str">
        <f aca="false">IF((B69=""),"",VLOOKUP(B69,Outcomes!$A$2:$D$20,4,0))</f>
        <v/>
      </c>
      <c r="E69" s="25"/>
      <c r="G69" s="1" t="n">
        <v>68</v>
      </c>
    </row>
    <row r="70" customFormat="false" ht="13.8" hidden="false" customHeight="false" outlineLevel="0" collapsed="false">
      <c r="A70" s="1" t="n">
        <v>69</v>
      </c>
      <c r="B70" s="12"/>
      <c r="C70" s="9" t="str">
        <f aca="false">IF((B70=""),"",VLOOKUP(B70,Outcomes!$A$2:$D$20,4,0))</f>
        <v/>
      </c>
      <c r="E70" s="25"/>
      <c r="G70" s="1" t="n">
        <v>69</v>
      </c>
    </row>
    <row r="71" customFormat="false" ht="13.8" hidden="false" customHeight="false" outlineLevel="0" collapsed="false">
      <c r="A71" s="1" t="n">
        <v>70</v>
      </c>
      <c r="B71" s="12"/>
      <c r="C71" s="9" t="str">
        <f aca="false">IF((B71=""),"",VLOOKUP(B71,Outcomes!$A$2:$D$20,4,0))</f>
        <v/>
      </c>
      <c r="E71" s="25"/>
      <c r="G71" s="1" t="n">
        <v>70</v>
      </c>
    </row>
    <row r="72" customFormat="false" ht="13.8" hidden="false" customHeight="false" outlineLevel="0" collapsed="false">
      <c r="A72" s="1" t="n">
        <v>71</v>
      </c>
      <c r="B72" s="12"/>
      <c r="C72" s="9" t="str">
        <f aca="false">IF((B72=""),"",VLOOKUP(B72,Outcomes!$A$2:$D$20,4,0))</f>
        <v/>
      </c>
      <c r="E72" s="25"/>
      <c r="G72" s="1"/>
    </row>
    <row r="73" customFormat="false" ht="13.8" hidden="false" customHeight="false" outlineLevel="0" collapsed="false">
      <c r="A73" s="1" t="n">
        <v>72</v>
      </c>
      <c r="B73" s="12"/>
      <c r="C73" s="9" t="str">
        <f aca="false">IF((B73=""),"",VLOOKUP(B73,Outcomes!$A$2:$D$20,4,0))</f>
        <v/>
      </c>
      <c r="E73" s="25"/>
      <c r="G73" s="1"/>
    </row>
    <row r="74" customFormat="false" ht="13.8" hidden="false" customHeight="false" outlineLevel="0" collapsed="false">
      <c r="A74" s="1"/>
      <c r="B74" s="12"/>
      <c r="C74" s="9" t="str">
        <f aca="false">IF((B74=""),"",VLOOKUP(B74,Outcomes!$A$2:$D$20,4,0))</f>
        <v/>
      </c>
      <c r="E74" s="25"/>
      <c r="G74" s="1"/>
    </row>
    <row r="75" customFormat="false" ht="13.8" hidden="false" customHeight="false" outlineLevel="0" collapsed="false">
      <c r="A75" s="1"/>
      <c r="B75" s="12"/>
      <c r="C75" s="9" t="str">
        <f aca="false">IF((B75=""),"",VLOOKUP(B75,Outcomes!$A$2:$D$20,4,0))</f>
        <v/>
      </c>
      <c r="E75" s="25"/>
      <c r="G75" s="1"/>
    </row>
    <row r="76" customFormat="false" ht="13.8" hidden="false" customHeight="false" outlineLevel="0" collapsed="false">
      <c r="A76" s="1"/>
      <c r="B76" s="12"/>
      <c r="C76" s="9" t="str">
        <f aca="false">IF((B76=""),"",VLOOKUP(B76,Outcomes!$A$2:$D$20,4,0))</f>
        <v/>
      </c>
      <c r="E76" s="25"/>
      <c r="G76" s="1"/>
    </row>
    <row r="77" customFormat="false" ht="13.8" hidden="false" customHeight="false" outlineLevel="0" collapsed="false">
      <c r="A77" s="1"/>
      <c r="B77" s="12"/>
      <c r="C77" s="9" t="str">
        <f aca="false">IF((B77=""),"",VLOOKUP(B77,Outcomes!$A$2:$D$20,4,0))</f>
        <v/>
      </c>
      <c r="E77" s="25"/>
      <c r="G77" s="1"/>
    </row>
    <row r="78" customFormat="false" ht="13.8" hidden="false" customHeight="false" outlineLevel="0" collapsed="false">
      <c r="A78" s="1"/>
      <c r="B78" s="12"/>
      <c r="C78" s="9" t="str">
        <f aca="false">IF((B78=""),"",VLOOKUP(B78,Outcomes!$A$2:$D$20,4,0))</f>
        <v/>
      </c>
      <c r="E78" s="25"/>
      <c r="G78" s="1"/>
    </row>
    <row r="79" customFormat="false" ht="13.8" hidden="false" customHeight="false" outlineLevel="0" collapsed="false">
      <c r="A79" s="0"/>
      <c r="B79" s="12"/>
      <c r="C79" s="9" t="str">
        <f aca="false">IF((B79=""),"",VLOOKUP(B79,Outcomes!$A$2:$D$20,4,0))</f>
        <v/>
      </c>
      <c r="E79" s="25"/>
      <c r="G79" s="1"/>
    </row>
    <row r="80" customFormat="false" ht="13.8" hidden="false" customHeight="false" outlineLevel="0" collapsed="false">
      <c r="A80" s="0"/>
      <c r="B80" s="12"/>
      <c r="C80" s="9" t="str">
        <f aca="false">IF((B80=""),"",VLOOKUP(B80,Outcomes!$A$2:$D$20,4,0))</f>
        <v/>
      </c>
      <c r="E80" s="25"/>
      <c r="G80" s="1"/>
    </row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  <row r="96" customFormat="false" ht="13.8" hidden="false" customHeight="false" outlineLevel="0" collapsed="false"/>
    <row r="97" customFormat="false" ht="13.8" hidden="false" customHeight="false" outlineLevel="0" collapsed="false"/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3.8" hidden="false" customHeight="false" outlineLevel="0" collapsed="false"/>
    <row r="113" customFormat="false" ht="13.8" hidden="false" customHeight="false" outlineLevel="0" collapsed="false"/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false" customHeight="false" outlineLevel="0" collapsed="false"/>
    <row r="117" customFormat="false" ht="13.8" hidden="false" customHeight="false" outlineLevel="0" collapsed="false"/>
    <row r="118" customFormat="false" ht="13.8" hidden="false" customHeight="false" outlineLevel="0" collapsed="false"/>
    <row r="119" customFormat="false" ht="13.8" hidden="false" customHeight="false" outlineLevel="0" collapsed="false"/>
    <row r="120" customFormat="false" ht="13.8" hidden="false" customHeight="false" outlineLevel="0" collapsed="false"/>
    <row r="121" customFormat="false" ht="13.8" hidden="false" customHeight="false" outlineLevel="0" collapsed="false"/>
    <row r="122" customFormat="false" ht="13.8" hidden="false" customHeight="false" outlineLevel="0" collapsed="false"/>
    <row r="123" customFormat="false" ht="13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errorStyle="stop" operator="between" showDropDown="false" showErrorMessage="true" showInputMessage="true" sqref="B2:B35 B37:B41 B45:B56 B58:B62 B66:B80" type="list">
      <formula1>Outcomes!$A$2:$A$20</formula1>
      <formula2>0</formula2>
    </dataValidation>
    <dataValidation allowBlank="true" errorStyle="stop" operator="between" showDropDown="false" showErrorMessage="true" showInputMessage="true" sqref="B36 B42:B44 B57 B63:B65" type="list">
      <formula1>Outcomes!$A$2:$A$20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F2CC"/>
    <pageSetUpPr fitToPage="false"/>
  </sheetPr>
  <dimension ref="A1:BG39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U20" activeCellId="0" sqref="U20"/>
    </sheetView>
  </sheetViews>
  <sheetFormatPr defaultColWidth="8.875" defaultRowHeight="14.4" zeroHeight="false" outlineLevelRow="0" outlineLevelCol="0"/>
  <cols>
    <col collapsed="false" customWidth="true" hidden="false" outlineLevel="0" max="1" min="1" style="26" width="3.65"/>
    <col collapsed="false" customWidth="true" hidden="false" outlineLevel="0" max="2" min="2" style="26" width="24.66"/>
    <col collapsed="false" customWidth="true" hidden="false" outlineLevel="0" max="3" min="3" style="26" width="3.65"/>
    <col collapsed="false" customWidth="true" hidden="false" outlineLevel="0" max="4" min="4" style="26" width="14.66"/>
    <col collapsed="false" customWidth="true" hidden="false" outlineLevel="0" max="5" min="5" style="26" width="3.65"/>
    <col collapsed="false" customWidth="true" hidden="false" outlineLevel="0" max="6" min="6" style="26" width="12.66"/>
    <col collapsed="false" customWidth="true" hidden="false" outlineLevel="0" max="7" min="7" style="26" width="3.65"/>
    <col collapsed="false" customWidth="true" hidden="false" outlineLevel="0" max="8" min="8" style="26" width="10.66"/>
    <col collapsed="false" customWidth="true" hidden="false" outlineLevel="0" max="9" min="9" style="26" width="24.66"/>
    <col collapsed="false" customWidth="true" hidden="false" outlineLevel="0" max="10" min="10" style="26" width="3.65"/>
    <col collapsed="false" customWidth="true" hidden="false" outlineLevel="0" max="11" min="11" style="26" width="16.66"/>
    <col collapsed="false" customWidth="true" hidden="false" outlineLevel="0" max="12" min="12" style="26" width="3.65"/>
    <col collapsed="false" customWidth="true" hidden="false" outlineLevel="0" max="13" min="13" style="26" width="14.66"/>
    <col collapsed="false" customWidth="true" hidden="false" outlineLevel="0" max="14" min="14" style="26" width="3.65"/>
    <col collapsed="false" customWidth="true" hidden="false" outlineLevel="0" max="15" min="15" style="26" width="30.66"/>
    <col collapsed="false" customWidth="true" hidden="false" outlineLevel="0" max="16" min="16" style="26" width="3.65"/>
    <col collapsed="false" customWidth="true" hidden="false" outlineLevel="0" max="17" min="17" style="26" width="14.66"/>
    <col collapsed="false" customWidth="true" hidden="false" outlineLevel="0" max="18" min="18" style="26" width="3.65"/>
    <col collapsed="false" customWidth="true" hidden="false" outlineLevel="0" max="19" min="19" style="26" width="14.66"/>
    <col collapsed="false" customWidth="true" hidden="false" outlineLevel="0" max="20" min="20" style="26" width="3.65"/>
    <col collapsed="false" customWidth="true" hidden="false" outlineLevel="0" max="21" min="21" style="26" width="22.33"/>
    <col collapsed="false" customWidth="true" hidden="false" outlineLevel="0" max="58" min="22" style="26" width="3.65"/>
    <col collapsed="false" customWidth="false" hidden="false" outlineLevel="0" max="59" min="59" style="26" width="8.87"/>
    <col collapsed="false" customWidth="false" hidden="false" outlineLevel="0" max="1024" min="60" style="2" width="8.87"/>
  </cols>
  <sheetData>
    <row r="1" s="26" customFormat="true" ht="14.4" hidden="false" customHeight="false" outlineLevel="0" collapsed="false"/>
    <row r="2" s="3" customFormat="true" ht="14.4" hidden="false" customHeight="false" outlineLevel="0" collapsed="false">
      <c r="A2" s="27"/>
      <c r="B2" s="3" t="s">
        <v>2</v>
      </c>
      <c r="C2" s="27"/>
      <c r="D2" s="3" t="s">
        <v>180</v>
      </c>
      <c r="E2" s="27"/>
      <c r="F2" s="3" t="s">
        <v>5</v>
      </c>
      <c r="G2" s="27"/>
      <c r="H2" s="27"/>
      <c r="I2" s="3" t="s">
        <v>181</v>
      </c>
      <c r="J2" s="27"/>
      <c r="K2" s="3" t="s">
        <v>182</v>
      </c>
      <c r="L2" s="27"/>
      <c r="M2" s="3" t="s">
        <v>7</v>
      </c>
      <c r="N2" s="27"/>
      <c r="O2" s="3" t="s">
        <v>110</v>
      </c>
      <c r="P2" s="27"/>
      <c r="Q2" s="3" t="s">
        <v>183</v>
      </c>
      <c r="R2" s="27"/>
      <c r="S2" s="3" t="s">
        <v>184</v>
      </c>
      <c r="T2" s="27"/>
      <c r="U2" s="3" t="s">
        <v>185</v>
      </c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</row>
    <row r="3" customFormat="false" ht="14.4" hidden="false" customHeight="false" outlineLevel="0" collapsed="false">
      <c r="B3" s="2" t="s">
        <v>10</v>
      </c>
      <c r="D3" s="2" t="s">
        <v>11</v>
      </c>
      <c r="F3" s="2" t="n">
        <f aca="false">TRUE()</f>
        <v>1</v>
      </c>
      <c r="H3" s="28" t="s">
        <v>27</v>
      </c>
      <c r="I3" s="2" t="s">
        <v>186</v>
      </c>
      <c r="K3" s="2" t="s">
        <v>27</v>
      </c>
      <c r="M3" s="2" t="s">
        <v>29</v>
      </c>
      <c r="O3" s="2" t="s">
        <v>187</v>
      </c>
      <c r="Q3" s="2" t="s">
        <v>28</v>
      </c>
      <c r="S3" s="2" t="n">
        <f aca="false">TRUE()</f>
        <v>1</v>
      </c>
      <c r="U3" s="25" t="s">
        <v>118</v>
      </c>
    </row>
    <row r="4" customFormat="false" ht="14.4" hidden="false" customHeight="false" outlineLevel="0" collapsed="false">
      <c r="B4" s="2" t="s">
        <v>188</v>
      </c>
      <c r="D4" s="2" t="s">
        <v>189</v>
      </c>
      <c r="F4" s="2" t="n">
        <f aca="false">FALSE()</f>
        <v>0</v>
      </c>
      <c r="H4" s="28" t="s">
        <v>27</v>
      </c>
      <c r="I4" s="2" t="s">
        <v>35</v>
      </c>
      <c r="K4" s="2" t="s">
        <v>32</v>
      </c>
      <c r="M4" s="25" t="s">
        <v>36</v>
      </c>
      <c r="O4" s="2" t="s">
        <v>190</v>
      </c>
      <c r="Q4" s="2" t="s">
        <v>33</v>
      </c>
      <c r="S4" s="2" t="n">
        <f aca="false">FALSE()</f>
        <v>0</v>
      </c>
      <c r="U4" s="25" t="s">
        <v>157</v>
      </c>
    </row>
    <row r="5" customFormat="false" ht="14.4" hidden="false" customHeight="false" outlineLevel="0" collapsed="false">
      <c r="B5" s="2" t="s">
        <v>191</v>
      </c>
      <c r="D5" s="2" t="s">
        <v>192</v>
      </c>
      <c r="H5" s="28" t="s">
        <v>27</v>
      </c>
      <c r="I5" s="2" t="s">
        <v>193</v>
      </c>
      <c r="K5" s="2" t="s">
        <v>43</v>
      </c>
      <c r="M5" s="2" t="s">
        <v>39</v>
      </c>
      <c r="O5" s="2" t="s">
        <v>194</v>
      </c>
      <c r="Q5" s="2" t="s">
        <v>51</v>
      </c>
      <c r="U5" s="25" t="s">
        <v>195</v>
      </c>
    </row>
    <row r="6" customFormat="false" ht="14.4" hidden="false" customHeight="false" outlineLevel="0" collapsed="false">
      <c r="B6" s="2" t="s">
        <v>196</v>
      </c>
      <c r="H6" s="28" t="s">
        <v>27</v>
      </c>
      <c r="I6" s="2" t="s">
        <v>197</v>
      </c>
      <c r="K6" s="2" t="s">
        <v>198</v>
      </c>
      <c r="M6" s="2" t="s">
        <v>79</v>
      </c>
      <c r="O6" s="2" t="s">
        <v>199</v>
      </c>
      <c r="U6" s="25" t="s">
        <v>200</v>
      </c>
    </row>
    <row r="7" customFormat="false" ht="14.4" hidden="false" customHeight="false" outlineLevel="0" collapsed="false">
      <c r="B7" s="2" t="s">
        <v>201</v>
      </c>
      <c r="H7" s="28" t="s">
        <v>27</v>
      </c>
      <c r="I7" s="2" t="s">
        <v>77</v>
      </c>
      <c r="K7" s="2" t="s">
        <v>54</v>
      </c>
      <c r="O7" s="2" t="s">
        <v>202</v>
      </c>
      <c r="U7" s="25" t="s">
        <v>146</v>
      </c>
    </row>
    <row r="8" customFormat="false" ht="14.4" hidden="false" customHeight="false" outlineLevel="0" collapsed="false">
      <c r="B8" s="2" t="s">
        <v>203</v>
      </c>
      <c r="H8" s="28" t="s">
        <v>27</v>
      </c>
      <c r="I8" s="2" t="s">
        <v>61</v>
      </c>
      <c r="K8" s="2" t="s">
        <v>67</v>
      </c>
      <c r="O8" s="2" t="s">
        <v>204</v>
      </c>
      <c r="U8" s="25" t="s">
        <v>141</v>
      </c>
    </row>
    <row r="9" customFormat="false" ht="14.4" hidden="false" customHeight="false" outlineLevel="0" collapsed="false">
      <c r="B9" s="2" t="s">
        <v>205</v>
      </c>
      <c r="H9" s="28" t="s">
        <v>27</v>
      </c>
      <c r="I9" s="2" t="s">
        <v>206</v>
      </c>
      <c r="K9" s="2" t="s">
        <v>207</v>
      </c>
      <c r="O9" s="2" t="s">
        <v>208</v>
      </c>
      <c r="U9" s="25" t="s">
        <v>209</v>
      </c>
    </row>
    <row r="10" customFormat="false" ht="14.4" hidden="false" customHeight="false" outlineLevel="0" collapsed="false">
      <c r="B10" s="2" t="s">
        <v>210</v>
      </c>
      <c r="H10" s="28" t="s">
        <v>27</v>
      </c>
      <c r="I10" s="2" t="s">
        <v>38</v>
      </c>
      <c r="O10" s="2" t="s">
        <v>211</v>
      </c>
      <c r="U10" s="25" t="s">
        <v>212</v>
      </c>
    </row>
    <row r="11" customFormat="false" ht="14.4" hidden="false" customHeight="false" outlineLevel="0" collapsed="false">
      <c r="B11" s="2" t="s">
        <v>213</v>
      </c>
      <c r="H11" s="28" t="s">
        <v>27</v>
      </c>
      <c r="I11" s="2" t="s">
        <v>49</v>
      </c>
      <c r="O11" s="29"/>
      <c r="U11" s="25" t="s">
        <v>214</v>
      </c>
    </row>
    <row r="12" customFormat="false" ht="14.4" hidden="false" customHeight="false" outlineLevel="0" collapsed="false">
      <c r="B12" s="2" t="s">
        <v>215</v>
      </c>
      <c r="H12" s="28" t="s">
        <v>27</v>
      </c>
      <c r="I12" s="2" t="s">
        <v>26</v>
      </c>
      <c r="O12" s="29"/>
      <c r="U12" s="25" t="s">
        <v>216</v>
      </c>
    </row>
    <row r="13" customFormat="false" ht="14.4" hidden="false" customHeight="false" outlineLevel="0" collapsed="false">
      <c r="B13" s="2" t="s">
        <v>217</v>
      </c>
      <c r="H13" s="28" t="s">
        <v>67</v>
      </c>
      <c r="I13" s="2" t="s">
        <v>70</v>
      </c>
      <c r="O13" s="29"/>
      <c r="U13" s="25" t="s">
        <v>138</v>
      </c>
    </row>
    <row r="14" customFormat="false" ht="14.4" hidden="false" customHeight="false" outlineLevel="0" collapsed="false">
      <c r="B14" s="2" t="s">
        <v>218</v>
      </c>
      <c r="H14" s="28" t="s">
        <v>67</v>
      </c>
      <c r="I14" s="2" t="s">
        <v>66</v>
      </c>
      <c r="O14" s="29"/>
      <c r="U14" s="25" t="s">
        <v>113</v>
      </c>
    </row>
    <row r="15" customFormat="false" ht="13.8" hidden="false" customHeight="false" outlineLevel="0" collapsed="false">
      <c r="B15" s="2" t="s">
        <v>219</v>
      </c>
      <c r="H15" s="28" t="s">
        <v>207</v>
      </c>
      <c r="I15" s="2" t="s">
        <v>220</v>
      </c>
      <c r="M15" s="29"/>
      <c r="O15" s="29"/>
      <c r="U15" s="25" t="s">
        <v>135</v>
      </c>
    </row>
    <row r="16" customFormat="false" ht="13.8" hidden="false" customHeight="false" outlineLevel="0" collapsed="false">
      <c r="B16" s="2" t="s">
        <v>49</v>
      </c>
      <c r="H16" s="28" t="s">
        <v>207</v>
      </c>
      <c r="I16" s="2" t="s">
        <v>221</v>
      </c>
      <c r="M16" s="29"/>
      <c r="U16" s="25" t="s">
        <v>162</v>
      </c>
    </row>
    <row r="17" customFormat="false" ht="14.4" hidden="false" customHeight="false" outlineLevel="0" collapsed="false">
      <c r="H17" s="28" t="s">
        <v>43</v>
      </c>
      <c r="I17" s="2" t="s">
        <v>222</v>
      </c>
      <c r="M17" s="29"/>
      <c r="U17" s="29"/>
    </row>
    <row r="18" customFormat="false" ht="14.4" hidden="false" customHeight="false" outlineLevel="0" collapsed="false">
      <c r="H18" s="28" t="s">
        <v>43</v>
      </c>
      <c r="I18" s="2" t="s">
        <v>45</v>
      </c>
      <c r="M18" s="29"/>
      <c r="U18" s="29"/>
    </row>
    <row r="19" customFormat="false" ht="14.4" hidden="false" customHeight="false" outlineLevel="0" collapsed="false">
      <c r="H19" s="28" t="s">
        <v>43</v>
      </c>
      <c r="I19" s="2" t="s">
        <v>73</v>
      </c>
      <c r="M19" s="29"/>
      <c r="U19" s="29"/>
    </row>
    <row r="20" customFormat="false" ht="14.4" hidden="false" customHeight="false" outlineLevel="0" collapsed="false">
      <c r="H20" s="28" t="s">
        <v>43</v>
      </c>
      <c r="I20" s="2" t="s">
        <v>223</v>
      </c>
      <c r="M20" s="29"/>
      <c r="U20" s="29"/>
    </row>
    <row r="21" customFormat="false" ht="14.4" hidden="false" customHeight="false" outlineLevel="0" collapsed="false">
      <c r="H21" s="28" t="s">
        <v>43</v>
      </c>
      <c r="I21" s="2" t="s">
        <v>47</v>
      </c>
      <c r="M21" s="29"/>
      <c r="U21" s="29"/>
    </row>
    <row r="22" customFormat="false" ht="14.4" hidden="false" customHeight="false" outlineLevel="0" collapsed="false">
      <c r="H22" s="28" t="s">
        <v>43</v>
      </c>
      <c r="I22" s="2" t="s">
        <v>42</v>
      </c>
      <c r="M22" s="29"/>
      <c r="U22" s="29"/>
    </row>
    <row r="23" customFormat="false" ht="14.4" hidden="false" customHeight="false" outlineLevel="0" collapsed="false">
      <c r="H23" s="28" t="s">
        <v>43</v>
      </c>
      <c r="I23" s="2" t="s">
        <v>224</v>
      </c>
      <c r="M23" s="29"/>
      <c r="U23" s="29"/>
    </row>
    <row r="24" customFormat="false" ht="14.4" hidden="false" customHeight="false" outlineLevel="0" collapsed="false">
      <c r="H24" s="28" t="s">
        <v>43</v>
      </c>
      <c r="I24" s="2" t="s">
        <v>225</v>
      </c>
      <c r="M24" s="29"/>
      <c r="U24" s="29"/>
    </row>
    <row r="25" customFormat="false" ht="14.4" hidden="false" customHeight="false" outlineLevel="0" collapsed="false">
      <c r="H25" s="28" t="s">
        <v>43</v>
      </c>
      <c r="I25" s="2" t="s">
        <v>49</v>
      </c>
      <c r="M25" s="29"/>
      <c r="U25" s="29"/>
    </row>
    <row r="26" customFormat="false" ht="14.4" hidden="false" customHeight="false" outlineLevel="0" collapsed="false">
      <c r="H26" s="28" t="s">
        <v>54</v>
      </c>
      <c r="I26" s="2" t="s">
        <v>53</v>
      </c>
      <c r="M26" s="29"/>
      <c r="U26" s="29"/>
    </row>
    <row r="27" customFormat="false" ht="14.4" hidden="false" customHeight="false" outlineLevel="0" collapsed="false">
      <c r="H27" s="28" t="s">
        <v>54</v>
      </c>
      <c r="I27" s="2" t="s">
        <v>63</v>
      </c>
      <c r="M27" s="29"/>
      <c r="U27" s="29"/>
    </row>
    <row r="28" customFormat="false" ht="14.4" hidden="false" customHeight="false" outlineLevel="0" collapsed="false">
      <c r="H28" s="28" t="s">
        <v>54</v>
      </c>
      <c r="I28" s="2" t="s">
        <v>64</v>
      </c>
      <c r="M28" s="29"/>
      <c r="U28" s="29"/>
    </row>
    <row r="29" customFormat="false" ht="14.4" hidden="false" customHeight="false" outlineLevel="0" collapsed="false">
      <c r="H29" s="28" t="s">
        <v>54</v>
      </c>
      <c r="I29" s="2" t="s">
        <v>49</v>
      </c>
      <c r="M29" s="29"/>
      <c r="U29" s="29"/>
    </row>
    <row r="30" customFormat="false" ht="14.4" hidden="false" customHeight="false" outlineLevel="0" collapsed="false">
      <c r="H30" s="28" t="s">
        <v>32</v>
      </c>
      <c r="I30" s="2" t="s">
        <v>56</v>
      </c>
      <c r="M30" s="29"/>
      <c r="U30" s="29"/>
    </row>
    <row r="31" customFormat="false" ht="14.4" hidden="false" customHeight="false" outlineLevel="0" collapsed="false">
      <c r="H31" s="28" t="s">
        <v>32</v>
      </c>
      <c r="I31" s="2" t="s">
        <v>31</v>
      </c>
      <c r="M31" s="29"/>
      <c r="U31" s="29"/>
    </row>
    <row r="32" customFormat="false" ht="14.4" hidden="false" customHeight="false" outlineLevel="0" collapsed="false">
      <c r="H32" s="28" t="s">
        <v>32</v>
      </c>
      <c r="I32" s="2" t="s">
        <v>226</v>
      </c>
      <c r="M32" s="29"/>
      <c r="U32" s="29"/>
    </row>
    <row r="33" customFormat="false" ht="14.4" hidden="false" customHeight="false" outlineLevel="0" collapsed="false">
      <c r="H33" s="28" t="s">
        <v>32</v>
      </c>
      <c r="I33" s="2" t="s">
        <v>227</v>
      </c>
      <c r="M33" s="29"/>
      <c r="U33" s="29"/>
    </row>
    <row r="34" customFormat="false" ht="14.4" hidden="false" customHeight="false" outlineLevel="0" collapsed="false">
      <c r="H34" s="28" t="s">
        <v>32</v>
      </c>
      <c r="I34" s="2" t="s">
        <v>49</v>
      </c>
      <c r="M34" s="29"/>
      <c r="U34" s="29"/>
    </row>
    <row r="35" customFormat="false" ht="14.4" hidden="false" customHeight="false" outlineLevel="0" collapsed="false">
      <c r="H35" s="28" t="s">
        <v>198</v>
      </c>
      <c r="I35" s="2" t="s">
        <v>228</v>
      </c>
      <c r="M35" s="29"/>
      <c r="U35" s="29"/>
    </row>
    <row r="36" customFormat="false" ht="14.4" hidden="false" customHeight="false" outlineLevel="0" collapsed="false">
      <c r="H36" s="28" t="s">
        <v>198</v>
      </c>
      <c r="I36" s="2" t="s">
        <v>229</v>
      </c>
      <c r="M36" s="29"/>
      <c r="U36" s="29"/>
    </row>
    <row r="37" customFormat="false" ht="14.4" hidden="false" customHeight="false" outlineLevel="0" collapsed="false">
      <c r="H37" s="28" t="s">
        <v>198</v>
      </c>
      <c r="I37" s="2" t="s">
        <v>230</v>
      </c>
      <c r="M37" s="29"/>
      <c r="U37" s="29"/>
    </row>
    <row r="38" customFormat="false" ht="14.4" hidden="false" customHeight="false" outlineLevel="0" collapsed="false">
      <c r="H38" s="28" t="s">
        <v>198</v>
      </c>
      <c r="I38" s="2" t="s">
        <v>231</v>
      </c>
      <c r="M38" s="29"/>
      <c r="U38" s="29"/>
    </row>
    <row r="39" customFormat="false" ht="14.4" hidden="false" customHeight="false" outlineLevel="0" collapsed="false">
      <c r="H39" s="28" t="s">
        <v>198</v>
      </c>
      <c r="I39" s="2" t="s">
        <v>49</v>
      </c>
      <c r="M39" s="29"/>
      <c r="U39" s="29"/>
    </row>
  </sheetData>
  <dataValidations count="1">
    <dataValidation allowBlank="true" errorStyle="stop" operator="between" showDropDown="false" showErrorMessage="true" showInputMessage="true" sqref="H3:H39" type="list">
      <formula1>$K$3:$K$9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4.4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.99"/>
    <col collapsed="false" customWidth="true" hidden="false" outlineLevel="0" max="3" min="3" style="0" width="40.11"/>
    <col collapsed="false" customWidth="true" hidden="false" outlineLevel="0" max="4" min="4" style="0" width="10.66"/>
    <col collapsed="false" customWidth="true" hidden="false" outlineLevel="0" max="5" min="5" style="0" width="2"/>
  </cols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4.4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2023-09-25T17:06:00Z</dcterms:created>
  <dc:creator>McDonald, Geoff L EAO:EX</dc:creator>
  <dc:description/>
  <dc:language>en-US</dc:language>
  <cp:lastModifiedBy/>
  <dcterms:modified xsi:type="dcterms:W3CDTF">2025-11-28T13:34:54Z</dcterms:modified>
  <cp:revision>108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ICV">
    <vt:lpwstr>0D6526A5EA4E4FF7A48B7F5C1EA948E4</vt:lpwstr>
  </property>
  <property fmtid="{D5CDD505-2E9C-101B-9397-08002B2CF9AE}" pid="4" name="KSOProductBuildVer">
    <vt:lpwstr>1033-11.2.0.11225</vt:lpwstr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