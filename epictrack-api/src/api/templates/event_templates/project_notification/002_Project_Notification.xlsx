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hases" sheetId="1" state="visible" r:id="rId2"/>
    <sheet name="Events" sheetId="2" state="visible" r:id="rId3"/>
    <sheet name="Outcomes" sheetId="3" state="visible" r:id="rId4"/>
    <sheet name="Actions" sheetId="4" state="visible" r:id="rId5"/>
    <sheet name="Lookups" sheetId="5" state="visible" r:id="rId6"/>
  </sheets>
  <definedNames>
    <definedName function="false" hidden="true" localSheetId="1" name="_xlnm._FilterDatabase" vbProcedure="false">Events!$A$1:$M$70</definedName>
    <definedName function="false" hidden="true" localSheetId="2" name="_xlnm._FilterDatabase" vbProcedure="false">Outcomes!$A$1:$F$16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<sst xmlns="http://schemas.openxmlformats.org/spreadsheetml/2006/main" count="650" uniqueCount="211">
  <si>
    <t xml:space="preserve">No</t>
  </si>
  <si>
    <t xml:space="preserve">Name</t>
  </si>
  <si>
    <t xml:space="preserve">WorkType</t>
  </si>
  <si>
    <t xml:space="preserve">EAAct</t>
  </si>
  <si>
    <t xml:space="preserve">NumberOfDays</t>
  </si>
  <si>
    <t xml:space="preserve">Legislated</t>
  </si>
  <si>
    <t xml:space="preserve">Color</t>
  </si>
  <si>
    <t xml:space="preserve">Visibility</t>
  </si>
  <si>
    <t xml:space="preserve">SortOrder</t>
  </si>
  <si>
    <t xml:space="preserve">Notification Intake</t>
  </si>
  <si>
    <t xml:space="preserve">Project Notification</t>
  </si>
  <si>
    <t xml:space="preserve">EA Act (2018)</t>
  </si>
  <si>
    <t xml:space="preserve">#3eb1d7</t>
  </si>
  <si>
    <t xml:space="preserve">REGULAR</t>
  </si>
  <si>
    <t xml:space="preserve">Notification Review</t>
  </si>
  <si>
    <t xml:space="preserve">Notification Decision</t>
  </si>
  <si>
    <t xml:space="preserve">Parent</t>
  </si>
  <si>
    <t xml:space="preserve">PhaseNo</t>
  </si>
  <si>
    <t xml:space="preserve">EventName</t>
  </si>
  <si>
    <t xml:space="preserve">Phase</t>
  </si>
  <si>
    <t xml:space="preserve">EventType</t>
  </si>
  <si>
    <t xml:space="preserve">EventCategory</t>
  </si>
  <si>
    <t xml:space="preserve">EventPosition</t>
  </si>
  <si>
    <t xml:space="preserve">MultipleDays</t>
  </si>
  <si>
    <t xml:space="preserve">StartAt</t>
  </si>
  <si>
    <t xml:space="preserve">Start of Intake Phase (e.g. Initial Contact, Draft Sharing, or PN Submission)</t>
  </si>
  <si>
    <t xml:space="preserve">Date Capture</t>
  </si>
  <si>
    <t xml:space="preserve">Milestone</t>
  </si>
  <si>
    <t xml:space="preserve">START</t>
  </si>
  <si>
    <t xml:space="preserve">MANDATORY</t>
  </si>
  <si>
    <t xml:space="preserve">Meeting with Proponent</t>
  </si>
  <si>
    <t xml:space="preserve">Meeting</t>
  </si>
  <si>
    <t xml:space="preserve">INTERMEDIATE</t>
  </si>
  <si>
    <t xml:space="preserve">SUGGESTED</t>
  </si>
  <si>
    <t xml:space="preserve">Additional Information Submission</t>
  </si>
  <si>
    <t xml:space="preserve">Submission</t>
  </si>
  <si>
    <t xml:space="preserve">OPTIONAL</t>
  </si>
  <si>
    <t xml:space="preserve">Document Submitted to EAO for "Initial Review"</t>
  </si>
  <si>
    <t xml:space="preserve">EAO's Viewpoint on Submitted Document</t>
  </si>
  <si>
    <t xml:space="preserve">PAD (Lead)</t>
  </si>
  <si>
    <t xml:space="preserve">Decision</t>
  </si>
  <si>
    <t xml:space="preserve">Project Notification Withdrawn</t>
  </si>
  <si>
    <t xml:space="preserve">EPD</t>
  </si>
  <si>
    <t xml:space="preserve">Direct Submission of Project Notification - DELETE this Intake Phase!</t>
  </si>
  <si>
    <t xml:space="preserve">Other</t>
  </si>
  <si>
    <t xml:space="preserve">Last Day of Intake Phase (day before formal submission)</t>
  </si>
  <si>
    <t xml:space="preserve">END</t>
  </si>
  <si>
    <t xml:space="preserve">Project Notification Submission Received (Day Zero)</t>
  </si>
  <si>
    <t xml:space="preserve">Delegation of PN Decision</t>
  </si>
  <si>
    <t xml:space="preserve">Minister</t>
  </si>
  <si>
    <t xml:space="preserve">Comment Period</t>
  </si>
  <si>
    <t xml:space="preserve">PCP</t>
  </si>
  <si>
    <t xml:space="preserve">PCP Coming Soon Announcement &amp; Tweet</t>
  </si>
  <si>
    <t xml:space="preserve">Communications</t>
  </si>
  <si>
    <t xml:space="preserve">Calendar</t>
  </si>
  <si>
    <t xml:space="preserve">PCP Coming Soon Milestone Bullet</t>
  </si>
  <si>
    <t xml:space="preserve">Executive</t>
  </si>
  <si>
    <t xml:space="preserve">PCP Now Open Announcement &amp; Tweet</t>
  </si>
  <si>
    <t xml:space="preserve">PCP Ending Soon Announcement &amp; Tweet</t>
  </si>
  <si>
    <t xml:space="preserve">number_of_days-2</t>
  </si>
  <si>
    <t xml:space="preserve">GHG Threshold Information Note</t>
  </si>
  <si>
    <t xml:space="preserve">Report</t>
  </si>
  <si>
    <t xml:space="preserve">REMINDER: GHG Minister's Information Note</t>
  </si>
  <si>
    <t xml:space="preserve">Additional Comment Period</t>
  </si>
  <si>
    <t xml:space="preserve">Additional PCP Milestone Bullet</t>
  </si>
  <si>
    <t xml:space="preserve">Open House</t>
  </si>
  <si>
    <t xml:space="preserve">Virtual Information Session</t>
  </si>
  <si>
    <t xml:space="preserve">Comment Period Time Limit Extension</t>
  </si>
  <si>
    <t xml:space="preserve">PCP Time Limit Extension</t>
  </si>
  <si>
    <t xml:space="preserve">Extension</t>
  </si>
  <si>
    <t xml:space="preserve">PCP Extended Announcement &amp; Tweet</t>
  </si>
  <si>
    <t xml:space="preserve">PCP Extended Milestone Bullet</t>
  </si>
  <si>
    <t xml:space="preserve">s.38 Extension of Time Limit</t>
  </si>
  <si>
    <t xml:space="preserve">Time Limit Extension</t>
  </si>
  <si>
    <t xml:space="preserve">Extension Announcement &amp; Tweet</t>
  </si>
  <si>
    <t xml:space="preserve">Time Limit Extended Milestone Bullet</t>
  </si>
  <si>
    <t xml:space="preserve">s.45 Suspension of the Project Notification Process</t>
  </si>
  <si>
    <t xml:space="preserve">Time Limit Suspension</t>
  </si>
  <si>
    <t xml:space="preserve">Suspension</t>
  </si>
  <si>
    <t xml:space="preserve">Project Notification Process Suspension Announcement &amp; Tweet</t>
  </si>
  <si>
    <t xml:space="preserve">Project Notification Process Suspended Milestone Bullet</t>
  </si>
  <si>
    <t xml:space="preserve">s.45 Resumption of the Project Notification Process</t>
  </si>
  <si>
    <t xml:space="preserve">Time Limit Resumption</t>
  </si>
  <si>
    <t xml:space="preserve">Project Notification Process Resumption Announcement &amp; Tweet</t>
  </si>
  <si>
    <t xml:space="preserve">Project Notification Process Resumed Milestone Bullet</t>
  </si>
  <si>
    <t xml:space="preserve">Project Notification Terminated s.39(d)</t>
  </si>
  <si>
    <t xml:space="preserve">CEAO</t>
  </si>
  <si>
    <t xml:space="preserve">Termination Announcement &amp; Tweet</t>
  </si>
  <si>
    <t xml:space="preserve">Project Notification Terminated Milestone Bullet</t>
  </si>
  <si>
    <t xml:space="preserve">Project Withdrawn</t>
  </si>
  <si>
    <t xml:space="preserve">Withdrawal Announcement &amp; Tweet</t>
  </si>
  <si>
    <t xml:space="preserve">Project Withdrawn Milestone Bullet</t>
  </si>
  <si>
    <t xml:space="preserve">Project Notification Report referred to Decision Maker</t>
  </si>
  <si>
    <t xml:space="preserve">Referral</t>
  </si>
  <si>
    <t xml:space="preserve">Project Notification Report Received by Decision Maker</t>
  </si>
  <si>
    <t xml:space="preserve">Create PN Decision Milestone Bullet</t>
  </si>
  <si>
    <t xml:space="preserve">Generic</t>
  </si>
  <si>
    <t xml:space="preserve">REMINDER: Create PN Decision Milestone Bullet</t>
  </si>
  <si>
    <t xml:space="preserve">Decision: Project Notification</t>
  </si>
  <si>
    <t xml:space="preserve">Notification Decision Announcement &amp; Tweet</t>
  </si>
  <si>
    <t xml:space="preserve">Notification Decision Milestone Bullet</t>
  </si>
  <si>
    <t xml:space="preserve">TemplateNo</t>
  </si>
  <si>
    <t xml:space="preserve">TemplateName</t>
  </si>
  <si>
    <t xml:space="preserve">OutcomeName</t>
  </si>
  <si>
    <t xml:space="preserve">OutcomeDescription</t>
  </si>
  <si>
    <t xml:space="preserve">EAO's Viewpoint is POSITIVE</t>
  </si>
  <si>
    <t xml:space="preserve">EAO's Viewpoint is NEGATIVE</t>
  </si>
  <si>
    <t xml:space="preserve">Proponent withdraws Submission from the Project Notification process</t>
  </si>
  <si>
    <t xml:space="preserve">Delete this "Intake Phase" and go directly to "Notification Review"</t>
  </si>
  <si>
    <t xml:space="preserve">Starts the 60-Day Legislated Time Period for Project Notification</t>
  </si>
  <si>
    <t xml:space="preserve">Minister to make the Project Notification Decision</t>
  </si>
  <si>
    <t xml:space="preserve">CEAO is delegated to make the Project Notification Decision</t>
  </si>
  <si>
    <t xml:space="preserve">Project Notification is Terminated under s.39(d) of Act</t>
  </si>
  <si>
    <t xml:space="preserve">No Further Review Required</t>
  </si>
  <si>
    <t xml:space="preserve">A Revised Project Notification Submission is Needed</t>
  </si>
  <si>
    <t xml:space="preserve">Project Referred to Minister for Designation (s.11)</t>
  </si>
  <si>
    <t xml:space="preserve">Deputy CEAO is delegated to make the Project Notification Decision</t>
  </si>
  <si>
    <t xml:space="preserve">OutcomeNo</t>
  </si>
  <si>
    <t xml:space="preserve">ActionName</t>
  </si>
  <si>
    <t xml:space="preserve">ActionDescription</t>
  </si>
  <si>
    <t xml:space="preserve">AdditionalParams</t>
  </si>
  <si>
    <t xml:space="preserve">SetPhasesStatus</t>
  </si>
  <si>
    <t xml:space="preserve">Set all "future" PHASEs to INACTIVE</t>
  </si>
  <si>
    <t xml:space="preserve">{"all_future_phases": false}</t>
  </si>
  <si>
    <t xml:space="preserve">SetEventsStatus</t>
  </si>
  <si>
    <t xml:space="preserve">Set all "future" EVENTs in thisPhase to INACTIVE</t>
  </si>
  <si>
    <t xml:space="preserve">{"all_future_events": false}</t>
  </si>
  <si>
    <t xml:space="preserve">SetWorkState</t>
  </si>
  <si>
    <t xml:space="preserve">Set workState to WITHDRAWN</t>
  </si>
  <si>
    <t xml:space="preserve">{"work_state": "WITHDRAWN"}</t>
  </si>
  <si>
    <t xml:space="preserve">SetProjectStatus</t>
  </si>
  <si>
    <t xml:space="preserve">Set projectActive to FALSE</t>
  </si>
  <si>
    <t xml:space="preserve">{"is_active": false}</t>
  </si>
  <si>
    <t xml:space="preserve">SetEventDate</t>
  </si>
  <si>
    <t xml:space="preserve">Set "Notification Review | Project Notification Submission Received (Day Zero)" ANTICIPATED to thisActual + 0</t>
  </si>
  <si>
    <t xml:space="preserve">{"phase_name":"Notification Review","work_type_id": 1, "ea_act_id": 3, "event_name": "Project Notification Submission Received (Day Zero)", "start_at": 0 }</t>
  </si>
  <si>
    <t xml:space="preserve">Set thisPhase to INACTIVE</t>
  </si>
  <si>
    <t xml:space="preserve">[{"phase_name":"Notification Intake","work_type_id": 1, "ea_act_id": 3, "is_active": false }]</t>
  </si>
  <si>
    <t xml:space="preserve">LockWorkStartDate</t>
  </si>
  <si>
    <t xml:space="preserve">Set thisWorkStartDate to thisEventACTUAL</t>
  </si>
  <si>
    <t xml:space="preserve">{"start_date_locked": true}</t>
  </si>
  <si>
    <t xml:space="preserve">SetWorkDecisionMaker</t>
  </si>
  <si>
    <t xml:space="preserve">Set thisWorkDecisionMaker to currentMinisterEnvironment</t>
  </si>
  <si>
    <t xml:space="preserve">{"position_id": 8}</t>
  </si>
  <si>
    <t xml:space="preserve">Set thisWorkDecisionMaker to currentCEAO</t>
  </si>
  <si>
    <t xml:space="preserve">{"position_id": 1}</t>
  </si>
  <si>
    <t xml:space="preserve">Set workState to TERMINATED</t>
  </si>
  <si>
    <t xml:space="preserve">{"work_state": "TERMINATED"}</t>
  </si>
  <si>
    <t xml:space="preserve">Set workState to COMPLETE</t>
  </si>
  <si>
    <t xml:space="preserve">{"work_state": "COMPLETED"}</t>
  </si>
  <si>
    <t xml:space="preserve">AddPhase</t>
  </si>
  <si>
    <t xml:space="preserve">addPhase "Revised Project Notification Development" (this is a renamed copy of "Notification Intake"), addPhase "Revised Notification Review" and set phaseLegislated to FALSE (this is a renamed copy of "Notification Review"), addPhase "Revised Notification Decision" and set phaseLegislated to FALSE (this is a renamed copy of "Notification Decision")</t>
  </si>
  <si>
    <t xml:space="preserve">[{"phase_name":"Notification Intake","work_type_id": 1, "ea_act_id": 3, "new_name": "Revised Project Notification Development", "legislated": false },{"phase_name":"Notification Review","work_type_id": 1, "ea_act_id": 3, "new_name": "Revised Notification Review", "legislated": false }, {"phase_name":"Notification Decision","work_type_id": 1, "ea_act_id": 3, "new_name": "Revised Notification Decision", "legislated": false }]</t>
  </si>
  <si>
    <t xml:space="preserve">Set "Revised Project Notification Development | Meeting with Proponent" to INACTIVE</t>
  </si>
  <si>
    <t xml:space="preserve">[{"phase_name":"Revised Project Notification Development","work_type_id": 1, "ea_act_id": 3, "event_name": "Meeting with Proponent", "is_active": false }]</t>
  </si>
  <si>
    <t xml:space="preserve">Set "Revised Project Notification Development | Start of Intake Phase" to thisEventACTUAL +1 (this is a renamed copy of "Start of Intake Phase (e.g. Initial Contact, Draft Sharing, or PN Submission)")</t>
  </si>
  <si>
    <t xml:space="preserve">{"phase_name":"Revised Project Notification Development","work_type_id": 1, "ea_act_id": 3, "event_name": "Start of Intake Phase (e.g. Initial Contact, Draft Sharing, or PN Submission)", "start_at": 1 }</t>
  </si>
  <si>
    <t xml:space="preserve">CreateWork</t>
  </si>
  <si>
    <t xml:space="preserve">createWork: "Minister's Designation" and link to thisWorkLinkedProject</t>
  </si>
  <si>
    <t xml:space="preserve">{"work_type":  2}</t>
  </si>
  <si>
    <t xml:space="preserve">Set the workDecisionMaker to currentADM</t>
  </si>
  <si>
    <t xml:space="preserve">{"position_id": 2}</t>
  </si>
  <si>
    <t xml:space="preserve">EA Act</t>
  </si>
  <si>
    <t xml:space="preserve">Event Type</t>
  </si>
  <si>
    <t xml:space="preserve">Event Category</t>
  </si>
  <si>
    <t xml:space="preserve">Event Position</t>
  </si>
  <si>
    <t xml:space="preserve">Multiple Days</t>
  </si>
  <si>
    <t xml:space="preserve">Action Name</t>
  </si>
  <si>
    <t xml:space="preserve">AllEventsDeactivated</t>
  </si>
  <si>
    <t xml:space="preserve">AddEvent</t>
  </si>
  <si>
    <t xml:space="preserve">Minister's Designation</t>
  </si>
  <si>
    <t xml:space="preserve">EA Act (2002)</t>
  </si>
  <si>
    <t xml:space="preserve">AllEventsDeleted</t>
  </si>
  <si>
    <t xml:space="preserve">CEAO's Designation</t>
  </si>
  <si>
    <t xml:space="preserve">EA Act (1996)</t>
  </si>
  <si>
    <t xml:space="preserve">Notification</t>
  </si>
  <si>
    <t xml:space="preserve">CloseEverything</t>
  </si>
  <si>
    <t xml:space="preserve">ChangePhaseEndEvent</t>
  </si>
  <si>
    <t xml:space="preserve">EAC Assessment</t>
  </si>
  <si>
    <t xml:space="preserve">Order</t>
  </si>
  <si>
    <t xml:space="preserve">Finance</t>
  </si>
  <si>
    <t xml:space="preserve">HIDDEN</t>
  </si>
  <si>
    <t xml:space="preserve">CloseWork</t>
  </si>
  <si>
    <t xml:space="preserve">Exemption Request</t>
  </si>
  <si>
    <t xml:space="preserve">CompleteCurrentPhase</t>
  </si>
  <si>
    <t xml:space="preserve">Dispute Resolution</t>
  </si>
  <si>
    <t xml:space="preserve">CreateNewWork</t>
  </si>
  <si>
    <t xml:space="preserve">EAC/Order Amendment</t>
  </si>
  <si>
    <t xml:space="preserve">Request</t>
  </si>
  <si>
    <t xml:space="preserve">DisableWorkStartDate</t>
  </si>
  <si>
    <t xml:space="preserve">SetEventStatus</t>
  </si>
  <si>
    <t xml:space="preserve">Document Review</t>
  </si>
  <si>
    <t xml:space="preserve">DuplicatePhase</t>
  </si>
  <si>
    <t xml:space="preserve">SetFederalInvolvement</t>
  </si>
  <si>
    <t xml:space="preserve">EAC Extension</t>
  </si>
  <si>
    <t xml:space="preserve">SetPhaseStatus</t>
  </si>
  <si>
    <t xml:space="preserve">Substantial Start Decision</t>
  </si>
  <si>
    <t xml:space="preserve">SetProjectState</t>
  </si>
  <si>
    <t xml:space="preserve">EAC/Order Transfer</t>
  </si>
  <si>
    <t xml:space="preserve">EAC/Order Suspension</t>
  </si>
  <si>
    <t xml:space="preserve">EAC/Order Cancellation</t>
  </si>
  <si>
    <t xml:space="preserve">EAC Ministers</t>
  </si>
  <si>
    <t xml:space="preserve">ADM</t>
  </si>
  <si>
    <t xml:space="preserve">Reviewer</t>
  </si>
  <si>
    <t xml:space="preserve">Federal</t>
  </si>
  <si>
    <t xml:space="preserve">Financial</t>
  </si>
  <si>
    <t xml:space="preserve">Work</t>
  </si>
  <si>
    <t xml:space="preserve">Capacity Funding</t>
  </si>
  <si>
    <t xml:space="preserve">Fee Order</t>
  </si>
  <si>
    <t xml:space="preserve">Penalties</t>
  </si>
  <si>
    <t xml:space="preserve">Administrative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</si>
</sst>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2E75B6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E2F0D9"/>
        <bgColor rgb="FFF2F2F2"/>
      </patternFill>
    </fill>
    <fill>
      <patternFill patternType="solid">
        <fgColor rgb="FF00B050"/>
        <bgColor rgb="FF008080"/>
      </patternFill>
    </fill>
    <fill>
      <patternFill patternType="solid">
        <fgColor rgb="FFFBE5D6"/>
        <bgColor rgb="FFFFF2CC"/>
      </patternFill>
    </fill>
    <fill>
      <patternFill patternType="solid">
        <fgColor rgb="FFFFF3F3"/>
        <bgColor rgb="FFF2F2F2"/>
      </patternFill>
    </fill>
    <fill>
      <patternFill patternType="solid">
        <fgColor rgb="FFFF0000"/>
        <bgColor rgb="FF993300"/>
      </patternFill>
    </fill>
    <fill>
      <patternFill patternType="solid">
        <fgColor rgb="FFFFCCCC"/>
        <bgColor rgb="FFFBE5D6"/>
      </patternFill>
    </fill>
    <fill>
      <patternFill patternType="solid">
        <fgColor rgb="FFCCCCFF"/>
        <bgColor rgb="FFC0C0C0"/>
      </patternFill>
    </fill>
    <fill>
      <patternFill patternType="solid">
        <fgColor rgb="FFFFF2CC"/>
        <bgColor rgb="FFFBE5D6"/>
      </patternFill>
    </fill>
    <fill>
      <patternFill patternType="solid">
        <fgColor rgb="FF70AD47"/>
        <bgColor rgb="FF99CC00"/>
      </patternFill>
    </fill>
    <fill>
      <patternFill patternType="solid">
        <fgColor rgb="FFF2F2F2"/>
        <bgColor rgb="FFFFF3F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00FFFFFF"/>
        </patternFill>
      </fill>
    </dxf>
    <dxf>
      <fill>
        <patternFill patternType="solid">
          <fgColor rgb="FFCCCCCC"/>
          <bgColor rgb="FF272727"/>
        </patternFill>
      </fill>
    </dxf>
    <dxf>
      <fill>
        <patternFill patternType="solid">
          <fgColor rgb="FF2E75B6"/>
        </patternFill>
      </fill>
    </dxf>
    <dxf>
      <fill>
        <patternFill patternType="solid">
          <fgColor rgb="FF00B050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CCCCFF"/>
        </patternFill>
      </fill>
    </dxf>
    <dxf>
      <fill>
        <patternFill patternType="solid">
          <fgColor rgb="FFFF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F3F3"/>
        </patternFill>
      </fill>
    </dxf>
    <dxf>
      <fill>
        <patternFill patternType="solid">
          <fgColor rgb="FFFBE5D6"/>
        </patternFill>
      </fill>
    </dxf>
    <dxf>
      <fill>
        <patternFill patternType="solid">
          <fgColor rgb="FFFFFFFF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ont>
        <b val="1"/>
        <i val="0"/>
        <color rgb="FFFFFFFF"/>
      </font>
      <fill>
        <patternFill>
          <bgColor rgb="FF00B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3F3"/>
      <rgbColor rgb="FFE2F0D9"/>
      <rgbColor rgb="FFFBE5D6"/>
      <rgbColor rgb="FF99CCFF"/>
      <rgbColor rgb="FFFF99CC"/>
      <rgbColor rgb="FFCC99FF"/>
      <rgbColor rgb="FFFFCCCC"/>
      <rgbColor rgb="FF2E75B6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E7" activeCellId="0" sqref="E7"/>
    </sheetView>
  </sheetViews>
  <sheetFormatPr defaultColWidth="8.91015625" defaultRowHeight="14.25" zeroHeight="false" outlineLevelRow="0" outlineLevelCol="0"/>
  <cols>
    <col collapsed="false" customWidth="true" hidden="false" outlineLevel="0" max="1" min="1" style="1" width="6.73"/>
    <col collapsed="false" customWidth="true" hidden="false" outlineLevel="0" max="2" min="2" style="2" width="50.72"/>
    <col collapsed="false" customWidth="true" hidden="false" outlineLevel="0" max="3" min="3" style="2" width="24.72"/>
    <col collapsed="false" customWidth="true" hidden="false" outlineLevel="0" max="5" min="4" style="2" width="14.72"/>
    <col collapsed="false" customWidth="true" hidden="false" outlineLevel="0" max="8" min="6" style="2" width="12.72"/>
    <col collapsed="false" customWidth="true" hidden="false" outlineLevel="0" max="9" min="9" style="2" width="10.72"/>
    <col collapsed="false" customWidth="false" hidden="false" outlineLevel="0" max="1024" min="10" style="2" width="8.91"/>
  </cols>
  <sheetData>
    <row r="1" s="3" customFormat="tru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Format="false" ht="14.25" hidden="false" customHeight="false" outlineLevel="0" collapsed="false">
      <c r="A2" s="1" t="n">
        <v>1</v>
      </c>
      <c r="B2" s="2" t="s">
        <v>9</v>
      </c>
      <c r="C2" s="4" t="s">
        <v>10</v>
      </c>
      <c r="D2" s="4" t="s">
        <v>11</v>
      </c>
      <c r="E2" s="1" t="n">
        <v>21</v>
      </c>
      <c r="F2" s="5" t="b">
        <f aca="false">FALSE()</f>
        <v>0</v>
      </c>
      <c r="G2" s="1" t="s">
        <v>12</v>
      </c>
      <c r="H2" s="1" t="s">
        <v>13</v>
      </c>
      <c r="I2" s="1" t="n">
        <v>1</v>
      </c>
    </row>
    <row r="3" customFormat="false" ht="14.25" hidden="false" customHeight="false" outlineLevel="0" collapsed="false">
      <c r="A3" s="1" t="n">
        <v>2</v>
      </c>
      <c r="B3" s="2" t="s">
        <v>14</v>
      </c>
      <c r="C3" s="4" t="s">
        <v>10</v>
      </c>
      <c r="D3" s="4" t="s">
        <v>11</v>
      </c>
      <c r="E3" s="1" t="n">
        <v>56</v>
      </c>
      <c r="F3" s="5" t="b">
        <f aca="false">TRUE()</f>
        <v>1</v>
      </c>
      <c r="G3" s="1" t="s">
        <v>12</v>
      </c>
      <c r="H3" s="1" t="s">
        <v>13</v>
      </c>
      <c r="I3" s="1" t="n">
        <v>2</v>
      </c>
    </row>
    <row r="4" customFormat="false" ht="14.25" hidden="false" customHeight="false" outlineLevel="0" collapsed="false">
      <c r="A4" s="1" t="n">
        <v>3</v>
      </c>
      <c r="B4" s="2" t="s">
        <v>15</v>
      </c>
      <c r="C4" s="4" t="s">
        <v>10</v>
      </c>
      <c r="D4" s="4" t="s">
        <v>11</v>
      </c>
      <c r="E4" s="1" t="n">
        <v>4</v>
      </c>
      <c r="F4" s="5" t="b">
        <f aca="false">TRUE()</f>
        <v>1</v>
      </c>
      <c r="G4" s="1" t="s">
        <v>12</v>
      </c>
      <c r="H4" s="1" t="s">
        <v>13</v>
      </c>
      <c r="I4" s="1" t="n">
        <v>3</v>
      </c>
    </row>
  </sheetData>
  <dataValidations count="3">
    <dataValidation allowBlank="true" errorStyle="stop" operator="between" showDropDown="false" showErrorMessage="true" showInputMessage="true" sqref="C2:C4" type="list">
      <formula1>Lookups!$B$3:$B$16</formula1>
      <formula2>0</formula2>
    </dataValidation>
    <dataValidation allowBlank="true" errorStyle="stop" operator="between" showDropDown="false" showErrorMessage="true" showInputMessage="true" sqref="D2:D4" type="list">
      <formula1>Lookups!$D$3:$D$5</formula1>
      <formula2>0</formula2>
    </dataValidation>
    <dataValidation allowBlank="true" errorStyle="stop" operator="between" showDropDown="false" showErrorMessage="true" showInputMessage="true" sqref="F2:F4" type="list">
      <formula1>Lookups!$F$3:$F$4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7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D7" activeCellId="0" sqref="D7"/>
    </sheetView>
  </sheetViews>
  <sheetFormatPr defaultColWidth="8.91015625" defaultRowHeight="14.25" zeroHeight="false" outlineLevelRow="0" outlineLevelCol="0"/>
  <cols>
    <col collapsed="false" customWidth="true" hidden="false" outlineLevel="0" max="1" min="1" style="1" width="6.73"/>
    <col collapsed="false" customWidth="true" hidden="false" outlineLevel="0" max="2" min="2" style="1" width="11"/>
    <col collapsed="false" customWidth="true" hidden="false" outlineLevel="0" max="3" min="3" style="1" width="10.72"/>
    <col collapsed="false" customWidth="true" hidden="false" outlineLevel="0" max="4" min="4" style="2" width="70.73"/>
    <col collapsed="false" customWidth="true" hidden="false" outlineLevel="0" max="5" min="5" style="2" width="48.72"/>
    <col collapsed="false" customWidth="true" hidden="false" outlineLevel="0" max="6" min="6" style="2" width="32.72"/>
    <col collapsed="false" customWidth="true" hidden="false" outlineLevel="0" max="9" min="7" style="2" width="14.72"/>
    <col collapsed="false" customWidth="true" hidden="false" outlineLevel="0" max="10" min="10" style="2" width="18.72"/>
    <col collapsed="false" customWidth="true" hidden="false" outlineLevel="0" max="12" min="11" style="2" width="14.72"/>
    <col collapsed="false" customWidth="true" hidden="false" outlineLevel="0" max="13" min="13" style="2" width="10.72"/>
    <col collapsed="false" customWidth="false" hidden="false" outlineLevel="0" max="1024" min="14" style="2" width="8.91"/>
  </cols>
  <sheetData>
    <row r="1" s="3" customFormat="true" ht="14.25" hidden="false" customHeight="false" outlineLevel="0" collapsed="false">
      <c r="A1" s="3" t="s">
        <v>0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4</v>
      </c>
      <c r="L1" s="3" t="s">
        <v>7</v>
      </c>
      <c r="M1" s="3" t="s">
        <v>8</v>
      </c>
    </row>
    <row r="2" customFormat="false" ht="14.25" hidden="false" customHeight="false" outlineLevel="0" collapsed="false">
      <c r="A2" s="1" t="n">
        <v>1</v>
      </c>
      <c r="C2" s="6" t="n">
        <v>1</v>
      </c>
      <c r="D2" s="7" t="s">
        <v>25</v>
      </c>
      <c r="E2" s="8" t="str">
        <f aca="false">IF((C2=""),"",VLOOKUP(C2,Phases!$A$2:$B$4,2,FALSE()))</f>
        <v>Notification Intake</v>
      </c>
      <c r="F2" s="4" t="s">
        <v>26</v>
      </c>
      <c r="G2" s="4" t="s">
        <v>27</v>
      </c>
      <c r="H2" s="4" t="s">
        <v>28</v>
      </c>
      <c r="I2" s="9" t="b">
        <f aca="false">FALSE()</f>
        <v>0</v>
      </c>
      <c r="J2" s="2" t="n">
        <v>0</v>
      </c>
      <c r="K2" s="1" t="n">
        <v>0</v>
      </c>
      <c r="L2" s="10" t="s">
        <v>29</v>
      </c>
      <c r="M2" s="1" t="n">
        <v>1</v>
      </c>
    </row>
    <row r="3" customFormat="false" ht="14.25" hidden="false" customHeight="false" outlineLevel="0" collapsed="false">
      <c r="A3" s="1" t="n">
        <v>2</v>
      </c>
      <c r="C3" s="11" t="n">
        <v>1</v>
      </c>
      <c r="D3" s="12" t="s">
        <v>30</v>
      </c>
      <c r="E3" s="8" t="str">
        <f aca="false">IF((C3=""),"",VLOOKUP(C3,Phases!$A$2:$B$4,2,FALSE()))</f>
        <v>Notification Intake</v>
      </c>
      <c r="F3" s="4" t="s">
        <v>31</v>
      </c>
      <c r="G3" s="4" t="s">
        <v>27</v>
      </c>
      <c r="H3" s="4" t="s">
        <v>32</v>
      </c>
      <c r="I3" s="13" t="b">
        <f aca="false">FALSE()</f>
        <v>0</v>
      </c>
      <c r="J3" s="2" t="n">
        <v>7</v>
      </c>
      <c r="K3" s="1" t="n">
        <v>0</v>
      </c>
      <c r="L3" s="10" t="s">
        <v>33</v>
      </c>
      <c r="M3" s="1" t="n">
        <v>2</v>
      </c>
    </row>
    <row r="4" customFormat="false" ht="14.25" hidden="false" customHeight="false" outlineLevel="0" collapsed="false">
      <c r="A4" s="1" t="n">
        <v>3</v>
      </c>
      <c r="C4" s="11" t="n">
        <v>1</v>
      </c>
      <c r="D4" s="2" t="s">
        <v>34</v>
      </c>
      <c r="E4" s="8" t="str">
        <f aca="false">IF((C4=""),"",VLOOKUP(C4,Phases!$A$2:$B$4,2,FALSE()))</f>
        <v>Notification Intake</v>
      </c>
      <c r="F4" s="4" t="s">
        <v>35</v>
      </c>
      <c r="G4" s="4" t="s">
        <v>27</v>
      </c>
      <c r="H4" s="4" t="s">
        <v>32</v>
      </c>
      <c r="I4" s="13" t="b">
        <f aca="false">FALSE()</f>
        <v>0</v>
      </c>
      <c r="J4" s="2" t="n">
        <v>0</v>
      </c>
      <c r="K4" s="1" t="n">
        <v>0</v>
      </c>
      <c r="L4" s="10" t="s">
        <v>36</v>
      </c>
      <c r="M4" s="1" t="n">
        <v>3</v>
      </c>
    </row>
    <row r="5" customFormat="false" ht="14.25" hidden="false" customHeight="false" outlineLevel="0" collapsed="false">
      <c r="A5" s="1" t="n">
        <v>4</v>
      </c>
      <c r="C5" s="11" t="n">
        <v>1</v>
      </c>
      <c r="D5" s="12" t="s">
        <v>37</v>
      </c>
      <c r="E5" s="8" t="str">
        <f aca="false">IF((C5=""),"",VLOOKUP(C5,Phases!$A$2:$B$4,2,FALSE()))</f>
        <v>Notification Intake</v>
      </c>
      <c r="F5" s="4" t="s">
        <v>35</v>
      </c>
      <c r="G5" s="4" t="s">
        <v>27</v>
      </c>
      <c r="H5" s="4" t="s">
        <v>32</v>
      </c>
      <c r="I5" s="9" t="b">
        <f aca="false">FALSE()</f>
        <v>0</v>
      </c>
      <c r="J5" s="2" t="n">
        <v>0</v>
      </c>
      <c r="K5" s="1" t="n">
        <v>0</v>
      </c>
      <c r="L5" s="10" t="s">
        <v>36</v>
      </c>
      <c r="M5" s="1" t="n">
        <v>4</v>
      </c>
    </row>
    <row r="6" customFormat="false" ht="14.25" hidden="false" customHeight="false" outlineLevel="0" collapsed="false">
      <c r="A6" s="1" t="n">
        <v>5</v>
      </c>
      <c r="B6" s="1" t="n">
        <v>4</v>
      </c>
      <c r="C6" s="11" t="n">
        <v>1</v>
      </c>
      <c r="D6" s="14" t="s">
        <v>38</v>
      </c>
      <c r="E6" s="8" t="str">
        <f aca="false">IF((C6=""),"",VLOOKUP(C6,Phases!$A$2:$B$4,2,FALSE()))</f>
        <v>Notification Intake</v>
      </c>
      <c r="F6" s="4" t="s">
        <v>39</v>
      </c>
      <c r="G6" s="4" t="s">
        <v>40</v>
      </c>
      <c r="H6" s="4" t="s">
        <v>32</v>
      </c>
      <c r="I6" s="9" t="b">
        <f aca="false">FALSE()</f>
        <v>0</v>
      </c>
      <c r="J6" s="2" t="n">
        <v>7</v>
      </c>
      <c r="K6" s="1" t="n">
        <v>0</v>
      </c>
      <c r="L6" s="10" t="s">
        <v>36</v>
      </c>
      <c r="M6" s="1" t="n">
        <v>5</v>
      </c>
    </row>
    <row r="7" customFormat="false" ht="14.25" hidden="false" customHeight="false" outlineLevel="0" collapsed="false">
      <c r="A7" s="1" t="n">
        <v>6</v>
      </c>
      <c r="C7" s="11" t="n">
        <v>1</v>
      </c>
      <c r="D7" s="14" t="s">
        <v>41</v>
      </c>
      <c r="E7" s="8" t="str">
        <f aca="false">IF((C7=""),"",VLOOKUP(C7,Phases!$A$2:$B$4,2,FALSE()))</f>
        <v>Notification Intake</v>
      </c>
      <c r="F7" s="4" t="s">
        <v>42</v>
      </c>
      <c r="G7" s="4" t="s">
        <v>40</v>
      </c>
      <c r="H7" s="4" t="s">
        <v>32</v>
      </c>
      <c r="I7" s="9" t="b">
        <f aca="false">FALSE()</f>
        <v>0</v>
      </c>
      <c r="J7" s="2" t="n">
        <v>0</v>
      </c>
      <c r="K7" s="1" t="n">
        <v>0</v>
      </c>
      <c r="L7" s="10" t="s">
        <v>36</v>
      </c>
      <c r="M7" s="1" t="n">
        <v>6</v>
      </c>
    </row>
    <row r="8" customFormat="false" ht="14.25" hidden="false" customHeight="false" outlineLevel="0" collapsed="false">
      <c r="A8" s="1" t="n">
        <v>7</v>
      </c>
      <c r="C8" s="11" t="n">
        <v>1</v>
      </c>
      <c r="D8" s="15" t="s">
        <v>43</v>
      </c>
      <c r="E8" s="8" t="str">
        <f aca="false">IF((C8=""),"",VLOOKUP(C8,Phases!$A$2:$B$4,2,FALSE()))</f>
        <v>Notification Intake</v>
      </c>
      <c r="F8" s="4" t="s">
        <v>39</v>
      </c>
      <c r="G8" s="4" t="s">
        <v>40</v>
      </c>
      <c r="H8" s="4" t="s">
        <v>32</v>
      </c>
      <c r="I8" s="9" t="b">
        <f aca="false">FALSE()</f>
        <v>0</v>
      </c>
      <c r="J8" s="2" t="n">
        <v>0</v>
      </c>
      <c r="K8" s="1" t="n">
        <v>0</v>
      </c>
      <c r="L8" s="10" t="s">
        <v>36</v>
      </c>
      <c r="M8" s="1" t="n">
        <v>7</v>
      </c>
    </row>
    <row r="9" customFormat="false" ht="14.25" hidden="false" customHeight="false" outlineLevel="0" collapsed="false">
      <c r="A9" s="1" t="n">
        <v>8</v>
      </c>
      <c r="C9" s="11" t="n">
        <v>1</v>
      </c>
      <c r="D9" s="2" t="s">
        <v>44</v>
      </c>
      <c r="E9" s="8" t="str">
        <f aca="false">IF((C9=""),"",VLOOKUP(C9,Phases!$A$2:$B$4,2,FALSE()))</f>
        <v>Notification Intake</v>
      </c>
      <c r="F9" s="4" t="s">
        <v>44</v>
      </c>
      <c r="G9" s="4" t="s">
        <v>27</v>
      </c>
      <c r="H9" s="4" t="s">
        <v>32</v>
      </c>
      <c r="I9" s="13" t="b">
        <f aca="false">FALSE()</f>
        <v>0</v>
      </c>
      <c r="J9" s="2" t="n">
        <v>0</v>
      </c>
      <c r="K9" s="1" t="n">
        <v>0</v>
      </c>
      <c r="L9" s="10" t="s">
        <v>36</v>
      </c>
      <c r="M9" s="1" t="n">
        <v>8</v>
      </c>
    </row>
    <row r="10" customFormat="false" ht="14.25" hidden="false" customHeight="false" outlineLevel="0" collapsed="false">
      <c r="A10" s="1" t="n">
        <v>9</v>
      </c>
      <c r="C10" s="16" t="n">
        <v>1</v>
      </c>
      <c r="D10" s="17" t="s">
        <v>45</v>
      </c>
      <c r="E10" s="8" t="str">
        <f aca="false">IF((C10=""),"",VLOOKUP(C10,Phases!$A$2:$B$4,2,FALSE()))</f>
        <v>Notification Intake</v>
      </c>
      <c r="F10" s="4" t="s">
        <v>26</v>
      </c>
      <c r="G10" s="4" t="s">
        <v>27</v>
      </c>
      <c r="H10" s="4" t="s">
        <v>46</v>
      </c>
      <c r="I10" s="13" t="b">
        <f aca="false">FALSE()</f>
        <v>0</v>
      </c>
      <c r="J10" s="2" t="n">
        <v>21</v>
      </c>
      <c r="K10" s="1" t="n">
        <v>0</v>
      </c>
      <c r="L10" s="10" t="s">
        <v>29</v>
      </c>
      <c r="M10" s="1" t="n">
        <v>9</v>
      </c>
    </row>
    <row r="11" customFormat="false" ht="14.25" hidden="false" customHeight="false" outlineLevel="0" collapsed="false">
      <c r="A11" s="1" t="n">
        <v>10</v>
      </c>
      <c r="C11" s="6" t="n">
        <v>2</v>
      </c>
      <c r="D11" s="4" t="s">
        <v>47</v>
      </c>
      <c r="E11" s="8" t="str">
        <f aca="false">IF((C11=""),"",VLOOKUP(C11,Phases!$A$2:$B$4,2,FALSE()))</f>
        <v>Notification Review</v>
      </c>
      <c r="F11" s="4" t="s">
        <v>35</v>
      </c>
      <c r="G11" s="4" t="s">
        <v>27</v>
      </c>
      <c r="H11" s="4" t="s">
        <v>28</v>
      </c>
      <c r="I11" s="13" t="b">
        <f aca="false">FALSE()</f>
        <v>0</v>
      </c>
      <c r="J11" s="2" t="n">
        <v>0</v>
      </c>
      <c r="K11" s="1" t="n">
        <v>0</v>
      </c>
      <c r="L11" s="10" t="s">
        <v>29</v>
      </c>
      <c r="M11" s="1" t="n">
        <v>10</v>
      </c>
    </row>
    <row r="12" customFormat="false" ht="14.25" hidden="false" customHeight="false" outlineLevel="0" collapsed="false">
      <c r="A12" s="1" t="n">
        <v>11</v>
      </c>
      <c r="C12" s="11" t="n">
        <v>2</v>
      </c>
      <c r="D12" s="18" t="s">
        <v>48</v>
      </c>
      <c r="E12" s="8" t="str">
        <f aca="false">IF((C12=""),"",VLOOKUP(C12,Phases!$A$2:$B$4,2,FALSE()))</f>
        <v>Notification Review</v>
      </c>
      <c r="F12" s="4" t="s">
        <v>49</v>
      </c>
      <c r="G12" s="4" t="s">
        <v>40</v>
      </c>
      <c r="H12" s="4" t="s">
        <v>32</v>
      </c>
      <c r="I12" s="13" t="b">
        <f aca="false">FALSE()</f>
        <v>0</v>
      </c>
      <c r="J12" s="2" t="n">
        <v>7</v>
      </c>
      <c r="K12" s="1" t="n">
        <v>0</v>
      </c>
      <c r="L12" s="10" t="s">
        <v>29</v>
      </c>
      <c r="M12" s="1" t="n">
        <v>11</v>
      </c>
    </row>
    <row r="13" customFormat="false" ht="14.25" hidden="false" customHeight="false" outlineLevel="0" collapsed="false">
      <c r="A13" s="1" t="n">
        <v>12</v>
      </c>
      <c r="C13" s="11" t="n">
        <v>2</v>
      </c>
      <c r="D13" s="2" t="s">
        <v>50</v>
      </c>
      <c r="E13" s="8" t="str">
        <f aca="false">IF((C13=""),"",VLOOKUP(C13,Phases!$A$2:$B$4,2,FALSE()))</f>
        <v>Notification Review</v>
      </c>
      <c r="F13" s="4" t="s">
        <v>50</v>
      </c>
      <c r="G13" s="4" t="s">
        <v>51</v>
      </c>
      <c r="H13" s="4" t="s">
        <v>32</v>
      </c>
      <c r="I13" s="13" t="b">
        <f aca="false">TRUE()</f>
        <v>1</v>
      </c>
      <c r="J13" s="2" t="n">
        <v>14</v>
      </c>
      <c r="K13" s="1" t="n">
        <v>21</v>
      </c>
      <c r="L13" s="10" t="s">
        <v>33</v>
      </c>
      <c r="M13" s="1" t="n">
        <v>12</v>
      </c>
    </row>
    <row r="14" customFormat="false" ht="14.25" hidden="false" customHeight="false" outlineLevel="0" collapsed="false">
      <c r="A14" s="1" t="n">
        <v>13</v>
      </c>
      <c r="B14" s="1" t="n">
        <v>12</v>
      </c>
      <c r="C14" s="11" t="n">
        <v>2</v>
      </c>
      <c r="D14" s="19" t="s">
        <v>52</v>
      </c>
      <c r="E14" s="8" t="str">
        <f aca="false">IF((C14=""),"",VLOOKUP(C14,Phases!$A$2:$B$4,2,FALSE()))</f>
        <v>Notification Review</v>
      </c>
      <c r="F14" s="4" t="s">
        <v>53</v>
      </c>
      <c r="G14" s="4" t="s">
        <v>54</v>
      </c>
      <c r="H14" s="4" t="s">
        <v>32</v>
      </c>
      <c r="I14" s="13" t="b">
        <f aca="false">FALSE()</f>
        <v>0</v>
      </c>
      <c r="J14" s="2" t="n">
        <v>-7</v>
      </c>
      <c r="K14" s="1" t="n">
        <v>0</v>
      </c>
      <c r="L14" s="10" t="s">
        <v>29</v>
      </c>
      <c r="M14" s="1" t="n">
        <v>13</v>
      </c>
    </row>
    <row r="15" customFormat="false" ht="14.25" hidden="false" customHeight="false" outlineLevel="0" collapsed="false">
      <c r="A15" s="1" t="n">
        <v>14</v>
      </c>
      <c r="B15" s="1" t="n">
        <v>12</v>
      </c>
      <c r="C15" s="11" t="n">
        <v>2</v>
      </c>
      <c r="D15" s="20" t="s">
        <v>55</v>
      </c>
      <c r="E15" s="8" t="str">
        <f aca="false">IF((C15=""),"",VLOOKUP(C15,Phases!$A$2:$B$4,2,FALSE()))</f>
        <v>Notification Review</v>
      </c>
      <c r="F15" s="4" t="s">
        <v>56</v>
      </c>
      <c r="G15" s="4" t="s">
        <v>54</v>
      </c>
      <c r="H15" s="4" t="s">
        <v>32</v>
      </c>
      <c r="I15" s="13" t="b">
        <f aca="false">FALSE()</f>
        <v>0</v>
      </c>
      <c r="J15" s="2" t="n">
        <v>-7</v>
      </c>
      <c r="K15" s="1" t="n">
        <v>0</v>
      </c>
      <c r="L15" s="10" t="s">
        <v>29</v>
      </c>
      <c r="M15" s="1" t="n">
        <v>14</v>
      </c>
    </row>
    <row r="16" customFormat="false" ht="14.25" hidden="false" customHeight="false" outlineLevel="0" collapsed="false">
      <c r="A16" s="1" t="n">
        <v>15</v>
      </c>
      <c r="B16" s="1" t="n">
        <v>12</v>
      </c>
      <c r="C16" s="11" t="n">
        <v>2</v>
      </c>
      <c r="D16" s="19" t="s">
        <v>57</v>
      </c>
      <c r="E16" s="8" t="str">
        <f aca="false">IF((C16=""),"",VLOOKUP(C16,Phases!$A$2:$B$4,2,FALSE()))</f>
        <v>Notification Review</v>
      </c>
      <c r="F16" s="4" t="s">
        <v>53</v>
      </c>
      <c r="G16" s="4" t="s">
        <v>54</v>
      </c>
      <c r="H16" s="4" t="s">
        <v>32</v>
      </c>
      <c r="I16" s="13" t="b">
        <f aca="false">FALSE()</f>
        <v>0</v>
      </c>
      <c r="J16" s="2" t="n">
        <v>0</v>
      </c>
      <c r="K16" s="1" t="n">
        <v>0</v>
      </c>
      <c r="L16" s="10" t="s">
        <v>29</v>
      </c>
      <c r="M16" s="1" t="n">
        <v>15</v>
      </c>
    </row>
    <row r="17" customFormat="false" ht="14.25" hidden="false" customHeight="false" outlineLevel="0" collapsed="false">
      <c r="A17" s="1" t="n">
        <v>16</v>
      </c>
      <c r="B17" s="1" t="n">
        <v>12</v>
      </c>
      <c r="C17" s="11" t="n">
        <v>2</v>
      </c>
      <c r="D17" s="19" t="s">
        <v>58</v>
      </c>
      <c r="E17" s="8" t="str">
        <f aca="false">IF((C17=""),"",VLOOKUP(C17,Phases!$A$2:$B$4,2,FALSE()))</f>
        <v>Notification Review</v>
      </c>
      <c r="F17" s="4" t="s">
        <v>53</v>
      </c>
      <c r="G17" s="4" t="s">
        <v>54</v>
      </c>
      <c r="H17" s="4" t="s">
        <v>32</v>
      </c>
      <c r="I17" s="13" t="b">
        <f aca="false">FALSE()</f>
        <v>0</v>
      </c>
      <c r="J17" s="2" t="s">
        <v>59</v>
      </c>
      <c r="K17" s="1" t="n">
        <v>0</v>
      </c>
      <c r="L17" s="10" t="s">
        <v>29</v>
      </c>
      <c r="M17" s="1" t="n">
        <v>16</v>
      </c>
    </row>
    <row r="18" customFormat="false" ht="14.25" hidden="false" customHeight="false" outlineLevel="0" collapsed="false">
      <c r="A18" s="1" t="n">
        <v>17</v>
      </c>
      <c r="C18" s="11" t="n">
        <v>2</v>
      </c>
      <c r="D18" s="2" t="s">
        <v>34</v>
      </c>
      <c r="E18" s="8" t="str">
        <f aca="false">IF((C18=""),"",VLOOKUP(C18,Phases!$A$2:$B$4,2,FALSE()))</f>
        <v>Notification Review</v>
      </c>
      <c r="F18" s="4" t="s">
        <v>35</v>
      </c>
      <c r="G18" s="4" t="s">
        <v>27</v>
      </c>
      <c r="H18" s="4" t="s">
        <v>32</v>
      </c>
      <c r="I18" s="13" t="b">
        <f aca="false">FALSE()</f>
        <v>0</v>
      </c>
      <c r="J18" s="2" t="n">
        <v>0</v>
      </c>
      <c r="K18" s="1" t="n">
        <v>0</v>
      </c>
      <c r="L18" s="10" t="s">
        <v>36</v>
      </c>
      <c r="M18" s="1" t="n">
        <v>17</v>
      </c>
    </row>
    <row r="19" customFormat="false" ht="14.25" hidden="false" customHeight="false" outlineLevel="0" collapsed="false">
      <c r="A19" s="1" t="n">
        <v>18</v>
      </c>
      <c r="C19" s="11" t="n">
        <v>2</v>
      </c>
      <c r="D19" s="2" t="s">
        <v>60</v>
      </c>
      <c r="E19" s="8" t="str">
        <f aca="false">IF((C19=""),"",VLOOKUP(C19,Phases!$A$2:$B$4,2,FALSE()))</f>
        <v>Notification Review</v>
      </c>
      <c r="F19" s="4" t="s">
        <v>61</v>
      </c>
      <c r="G19" s="4" t="s">
        <v>27</v>
      </c>
      <c r="H19" s="4" t="s">
        <v>32</v>
      </c>
      <c r="I19" s="13" t="b">
        <f aca="false">FALSE()</f>
        <v>0</v>
      </c>
      <c r="J19" s="2" t="n">
        <v>0</v>
      </c>
      <c r="K19" s="1" t="n">
        <v>0</v>
      </c>
      <c r="L19" s="10" t="s">
        <v>36</v>
      </c>
      <c r="M19" s="1" t="n">
        <v>18</v>
      </c>
    </row>
    <row r="20" customFormat="false" ht="14.25" hidden="false" customHeight="false" outlineLevel="0" collapsed="false">
      <c r="A20" s="1" t="n">
        <v>19</v>
      </c>
      <c r="B20" s="1" t="n">
        <v>18</v>
      </c>
      <c r="C20" s="11" t="n">
        <v>2</v>
      </c>
      <c r="D20" s="20" t="s">
        <v>62</v>
      </c>
      <c r="E20" s="8" t="str">
        <f aca="false">IF((C20=""),"",VLOOKUP(C20,Phases!$A$2:$B$4,2,FALSE()))</f>
        <v>Notification Review</v>
      </c>
      <c r="F20" s="4" t="s">
        <v>56</v>
      </c>
      <c r="G20" s="4" t="s">
        <v>54</v>
      </c>
      <c r="H20" s="4" t="s">
        <v>32</v>
      </c>
      <c r="I20" s="13" t="b">
        <f aca="false">FALSE()</f>
        <v>0</v>
      </c>
      <c r="J20" s="2" t="n">
        <v>0</v>
      </c>
      <c r="K20" s="1" t="n">
        <v>0</v>
      </c>
      <c r="L20" s="10" t="s">
        <v>36</v>
      </c>
      <c r="M20" s="1" t="n">
        <v>19</v>
      </c>
    </row>
    <row r="21" customFormat="false" ht="14.25" hidden="false" customHeight="false" outlineLevel="0" collapsed="false">
      <c r="A21" s="1" t="n">
        <v>20</v>
      </c>
      <c r="C21" s="11" t="n">
        <v>2</v>
      </c>
      <c r="D21" s="2" t="s">
        <v>63</v>
      </c>
      <c r="E21" s="8" t="str">
        <f aca="false">IF((C21=""),"",VLOOKUP(C21,Phases!$A$2:$B$4,2,FALSE()))</f>
        <v>Notification Review</v>
      </c>
      <c r="F21" s="4" t="s">
        <v>50</v>
      </c>
      <c r="G21" s="4" t="s">
        <v>51</v>
      </c>
      <c r="H21" s="4" t="s">
        <v>32</v>
      </c>
      <c r="I21" s="13" t="b">
        <f aca="false">TRUE()</f>
        <v>1</v>
      </c>
      <c r="J21" s="2" t="n">
        <v>0</v>
      </c>
      <c r="K21" s="1" t="n">
        <v>30</v>
      </c>
      <c r="L21" s="10" t="s">
        <v>36</v>
      </c>
      <c r="M21" s="1" t="n">
        <v>20</v>
      </c>
    </row>
    <row r="22" customFormat="false" ht="14.25" hidden="false" customHeight="false" outlineLevel="0" collapsed="false">
      <c r="A22" s="1" t="n">
        <v>21</v>
      </c>
      <c r="B22" s="1" t="n">
        <v>20</v>
      </c>
      <c r="C22" s="11" t="n">
        <v>2</v>
      </c>
      <c r="D22" s="19" t="s">
        <v>52</v>
      </c>
      <c r="E22" s="8" t="str">
        <f aca="false">IF((C22=""),"",VLOOKUP(C22,Phases!$A$2:$B$4,2,FALSE()))</f>
        <v>Notification Review</v>
      </c>
      <c r="F22" s="4" t="s">
        <v>53</v>
      </c>
      <c r="G22" s="4" t="s">
        <v>54</v>
      </c>
      <c r="H22" s="4" t="s">
        <v>32</v>
      </c>
      <c r="I22" s="13" t="b">
        <f aca="false">FALSE()</f>
        <v>0</v>
      </c>
      <c r="J22" s="2" t="n">
        <v>-7</v>
      </c>
      <c r="K22" s="1" t="n">
        <v>0</v>
      </c>
      <c r="L22" s="10" t="s">
        <v>36</v>
      </c>
      <c r="M22" s="1" t="n">
        <v>21</v>
      </c>
    </row>
    <row r="23" customFormat="false" ht="14.25" hidden="false" customHeight="false" outlineLevel="0" collapsed="false">
      <c r="A23" s="1" t="n">
        <v>22</v>
      </c>
      <c r="B23" s="1" t="n">
        <v>20</v>
      </c>
      <c r="C23" s="11" t="n">
        <v>2</v>
      </c>
      <c r="D23" s="20" t="s">
        <v>64</v>
      </c>
      <c r="E23" s="8" t="str">
        <f aca="false">IF((C23=""),"",VLOOKUP(C23,Phases!$A$2:$B$4,2,FALSE()))</f>
        <v>Notification Review</v>
      </c>
      <c r="F23" s="4" t="s">
        <v>56</v>
      </c>
      <c r="G23" s="4" t="s">
        <v>54</v>
      </c>
      <c r="H23" s="4" t="s">
        <v>32</v>
      </c>
      <c r="I23" s="13" t="b">
        <f aca="false">FALSE()</f>
        <v>0</v>
      </c>
      <c r="J23" s="2" t="n">
        <v>-7</v>
      </c>
      <c r="K23" s="1" t="n">
        <v>0</v>
      </c>
      <c r="L23" s="10" t="s">
        <v>36</v>
      </c>
      <c r="M23" s="1" t="n">
        <v>22</v>
      </c>
    </row>
    <row r="24" customFormat="false" ht="14.25" hidden="false" customHeight="false" outlineLevel="0" collapsed="false">
      <c r="A24" s="1" t="n">
        <v>23</v>
      </c>
      <c r="B24" s="1" t="n">
        <v>20</v>
      </c>
      <c r="C24" s="11" t="n">
        <v>2</v>
      </c>
      <c r="D24" s="19" t="s">
        <v>57</v>
      </c>
      <c r="E24" s="8" t="str">
        <f aca="false">IF((C24=""),"",VLOOKUP(C24,Phases!$A$2:$B$4,2,FALSE()))</f>
        <v>Notification Review</v>
      </c>
      <c r="F24" s="4" t="s">
        <v>53</v>
      </c>
      <c r="G24" s="4" t="s">
        <v>54</v>
      </c>
      <c r="H24" s="4" t="s">
        <v>32</v>
      </c>
      <c r="I24" s="13" t="b">
        <f aca="false">FALSE()</f>
        <v>0</v>
      </c>
      <c r="J24" s="2" t="n">
        <v>0</v>
      </c>
      <c r="K24" s="1" t="n">
        <v>0</v>
      </c>
      <c r="L24" s="10" t="s">
        <v>36</v>
      </c>
      <c r="M24" s="1" t="n">
        <v>23</v>
      </c>
    </row>
    <row r="25" customFormat="false" ht="14.25" hidden="false" customHeight="false" outlineLevel="0" collapsed="false">
      <c r="A25" s="1" t="n">
        <v>24</v>
      </c>
      <c r="B25" s="1" t="n">
        <v>20</v>
      </c>
      <c r="C25" s="11" t="n">
        <v>2</v>
      </c>
      <c r="D25" s="19" t="s">
        <v>58</v>
      </c>
      <c r="E25" s="8" t="str">
        <f aca="false">IF((C25=""),"",VLOOKUP(C25,Phases!$A$2:$B$4,2,FALSE()))</f>
        <v>Notification Review</v>
      </c>
      <c r="F25" s="4" t="s">
        <v>53</v>
      </c>
      <c r="G25" s="4" t="s">
        <v>54</v>
      </c>
      <c r="H25" s="4" t="s">
        <v>32</v>
      </c>
      <c r="I25" s="13" t="b">
        <f aca="false">FALSE()</f>
        <v>0</v>
      </c>
      <c r="J25" s="2" t="s">
        <v>59</v>
      </c>
      <c r="K25" s="1" t="n">
        <v>0</v>
      </c>
      <c r="L25" s="10" t="s">
        <v>36</v>
      </c>
      <c r="M25" s="1" t="n">
        <v>24</v>
      </c>
    </row>
    <row r="26" customFormat="false" ht="14.25" hidden="false" customHeight="false" outlineLevel="0" collapsed="false">
      <c r="A26" s="1" t="n">
        <v>25</v>
      </c>
      <c r="C26" s="11" t="n">
        <v>2</v>
      </c>
      <c r="D26" s="2" t="s">
        <v>65</v>
      </c>
      <c r="E26" s="8" t="str">
        <f aca="false">IF((C26=""),"",VLOOKUP(C26,Phases!$A$2:$B$4,2,FALSE()))</f>
        <v>Notification Review</v>
      </c>
      <c r="F26" s="4" t="s">
        <v>65</v>
      </c>
      <c r="G26" s="4" t="s">
        <v>51</v>
      </c>
      <c r="H26" s="4" t="s">
        <v>32</v>
      </c>
      <c r="I26" s="13" t="b">
        <f aca="false">FALSE()</f>
        <v>0</v>
      </c>
      <c r="J26" s="2" t="n">
        <v>0</v>
      </c>
      <c r="K26" s="1" t="n">
        <v>0</v>
      </c>
      <c r="L26" s="10" t="s">
        <v>36</v>
      </c>
      <c r="M26" s="1" t="n">
        <v>25</v>
      </c>
    </row>
    <row r="27" customFormat="false" ht="14.25" hidden="false" customHeight="false" outlineLevel="0" collapsed="false">
      <c r="A27" s="1" t="n">
        <v>26</v>
      </c>
      <c r="C27" s="11" t="n">
        <v>2</v>
      </c>
      <c r="D27" s="2" t="s">
        <v>66</v>
      </c>
      <c r="E27" s="8" t="str">
        <f aca="false">IF((C27=""),"",VLOOKUP(C27,Phases!$A$2:$B$4,2,FALSE()))</f>
        <v>Notification Review</v>
      </c>
      <c r="F27" s="4" t="s">
        <v>66</v>
      </c>
      <c r="G27" s="4" t="s">
        <v>51</v>
      </c>
      <c r="H27" s="4" t="s">
        <v>32</v>
      </c>
      <c r="I27" s="13" t="b">
        <f aca="false">FALSE()</f>
        <v>0</v>
      </c>
      <c r="J27" s="2" t="n">
        <v>0</v>
      </c>
      <c r="K27" s="1" t="n">
        <v>0</v>
      </c>
      <c r="L27" s="10" t="s">
        <v>36</v>
      </c>
      <c r="M27" s="1" t="n">
        <v>26</v>
      </c>
    </row>
    <row r="28" customFormat="false" ht="14.25" hidden="false" customHeight="false" outlineLevel="0" collapsed="false">
      <c r="A28" s="1" t="n">
        <v>27</v>
      </c>
      <c r="C28" s="11" t="n">
        <v>2</v>
      </c>
      <c r="D28" s="2" t="s">
        <v>67</v>
      </c>
      <c r="E28" s="8" t="str">
        <f aca="false">IF((C28=""),"",VLOOKUP(C28,Phases!$A$2:$B$4,2,FALSE()))</f>
        <v>Notification Review</v>
      </c>
      <c r="F28" s="4" t="s">
        <v>68</v>
      </c>
      <c r="G28" s="4" t="s">
        <v>69</v>
      </c>
      <c r="H28" s="4" t="s">
        <v>32</v>
      </c>
      <c r="I28" s="13" t="b">
        <f aca="false">FALSE()</f>
        <v>0</v>
      </c>
      <c r="J28" s="2" t="n">
        <v>0</v>
      </c>
      <c r="K28" s="1" t="n">
        <v>0</v>
      </c>
      <c r="L28" s="10" t="s">
        <v>36</v>
      </c>
      <c r="M28" s="1" t="n">
        <v>27</v>
      </c>
    </row>
    <row r="29" customFormat="false" ht="14.25" hidden="false" customHeight="false" outlineLevel="0" collapsed="false">
      <c r="A29" s="1" t="n">
        <v>28</v>
      </c>
      <c r="B29" s="1" t="n">
        <v>27</v>
      </c>
      <c r="C29" s="11" t="n">
        <v>2</v>
      </c>
      <c r="D29" s="19" t="s">
        <v>70</v>
      </c>
      <c r="E29" s="8" t="str">
        <f aca="false">IF((C29=""),"",VLOOKUP(C29,Phases!$A$2:$B$4,2,FALSE()))</f>
        <v>Notification Review</v>
      </c>
      <c r="F29" s="4" t="s">
        <v>53</v>
      </c>
      <c r="G29" s="4" t="s">
        <v>54</v>
      </c>
      <c r="H29" s="4" t="s">
        <v>32</v>
      </c>
      <c r="I29" s="13" t="b">
        <f aca="false">FALSE()</f>
        <v>0</v>
      </c>
      <c r="J29" s="2" t="n">
        <v>0</v>
      </c>
      <c r="K29" s="1" t="n">
        <v>0</v>
      </c>
      <c r="L29" s="10" t="s">
        <v>36</v>
      </c>
      <c r="M29" s="1" t="n">
        <v>28</v>
      </c>
    </row>
    <row r="30" customFormat="false" ht="14.25" hidden="false" customHeight="false" outlineLevel="0" collapsed="false">
      <c r="A30" s="1" t="n">
        <v>29</v>
      </c>
      <c r="B30" s="1" t="n">
        <v>27</v>
      </c>
      <c r="C30" s="11" t="n">
        <v>2</v>
      </c>
      <c r="D30" s="20" t="s">
        <v>71</v>
      </c>
      <c r="E30" s="8" t="str">
        <f aca="false">IF((C30=""),"",VLOOKUP(C30,Phases!$A$2:$B$4,2,FALSE()))</f>
        <v>Notification Review</v>
      </c>
      <c r="F30" s="4" t="s">
        <v>56</v>
      </c>
      <c r="G30" s="4" t="s">
        <v>54</v>
      </c>
      <c r="H30" s="4" t="s">
        <v>32</v>
      </c>
      <c r="I30" s="13" t="b">
        <f aca="false">FALSE()</f>
        <v>0</v>
      </c>
      <c r="J30" s="2" t="n">
        <v>0</v>
      </c>
      <c r="K30" s="1" t="n">
        <v>0</v>
      </c>
      <c r="L30" s="10" t="s">
        <v>36</v>
      </c>
      <c r="M30" s="1" t="n">
        <v>29</v>
      </c>
    </row>
    <row r="31" customFormat="false" ht="14.25" hidden="false" customHeight="false" outlineLevel="0" collapsed="false">
      <c r="A31" s="1" t="n">
        <v>30</v>
      </c>
      <c r="C31" s="11" t="n">
        <v>2</v>
      </c>
      <c r="D31" s="2" t="s">
        <v>72</v>
      </c>
      <c r="E31" s="8" t="str">
        <f aca="false">IF((C31=""),"",VLOOKUP(C31,Phases!$A$2:$B$4,2,FALSE()))</f>
        <v>Notification Review</v>
      </c>
      <c r="F31" s="4" t="s">
        <v>73</v>
      </c>
      <c r="G31" s="4" t="s">
        <v>69</v>
      </c>
      <c r="H31" s="4" t="s">
        <v>32</v>
      </c>
      <c r="I31" s="13" t="b">
        <f aca="false">FALSE()</f>
        <v>0</v>
      </c>
      <c r="J31" s="2" t="n">
        <v>0</v>
      </c>
      <c r="K31" s="1" t="n">
        <v>0</v>
      </c>
      <c r="L31" s="10" t="s">
        <v>36</v>
      </c>
      <c r="M31" s="1" t="n">
        <v>30</v>
      </c>
    </row>
    <row r="32" customFormat="false" ht="14.25" hidden="false" customHeight="false" outlineLevel="0" collapsed="false">
      <c r="A32" s="1" t="n">
        <v>31</v>
      </c>
      <c r="B32" s="1" t="n">
        <v>30</v>
      </c>
      <c r="C32" s="11" t="n">
        <v>2</v>
      </c>
      <c r="D32" s="19" t="s">
        <v>74</v>
      </c>
      <c r="E32" s="8" t="str">
        <f aca="false">IF((C32=""),"",VLOOKUP(C32,Phases!$A$2:$B$4,2,FALSE()))</f>
        <v>Notification Review</v>
      </c>
      <c r="F32" s="4" t="s">
        <v>53</v>
      </c>
      <c r="G32" s="4" t="s">
        <v>54</v>
      </c>
      <c r="H32" s="4" t="s">
        <v>32</v>
      </c>
      <c r="I32" s="13" t="b">
        <f aca="false">FALSE()</f>
        <v>0</v>
      </c>
      <c r="J32" s="2" t="n">
        <v>0</v>
      </c>
      <c r="K32" s="1" t="n">
        <v>0</v>
      </c>
      <c r="L32" s="10" t="s">
        <v>36</v>
      </c>
      <c r="M32" s="1" t="n">
        <v>31</v>
      </c>
    </row>
    <row r="33" customFormat="false" ht="14.25" hidden="false" customHeight="false" outlineLevel="0" collapsed="false">
      <c r="A33" s="1" t="n">
        <v>32</v>
      </c>
      <c r="B33" s="1" t="n">
        <v>30</v>
      </c>
      <c r="C33" s="11" t="n">
        <v>2</v>
      </c>
      <c r="D33" s="20" t="s">
        <v>75</v>
      </c>
      <c r="E33" s="8" t="str">
        <f aca="false">IF((C33=""),"",VLOOKUP(C33,Phases!$A$2:$B$4,2,FALSE()))</f>
        <v>Notification Review</v>
      </c>
      <c r="F33" s="4" t="s">
        <v>56</v>
      </c>
      <c r="G33" s="4" t="s">
        <v>54</v>
      </c>
      <c r="H33" s="4" t="s">
        <v>32</v>
      </c>
      <c r="I33" s="13" t="b">
        <f aca="false">FALSE()</f>
        <v>0</v>
      </c>
      <c r="J33" s="2" t="n">
        <v>0</v>
      </c>
      <c r="K33" s="1" t="n">
        <v>0</v>
      </c>
      <c r="L33" s="10" t="s">
        <v>36</v>
      </c>
      <c r="M33" s="1" t="n">
        <v>32</v>
      </c>
    </row>
    <row r="34" customFormat="false" ht="14.25" hidden="false" customHeight="false" outlineLevel="0" collapsed="false">
      <c r="A34" s="1" t="n">
        <v>33</v>
      </c>
      <c r="C34" s="11" t="n">
        <v>2</v>
      </c>
      <c r="D34" s="2" t="s">
        <v>76</v>
      </c>
      <c r="E34" s="8" t="str">
        <f aca="false">IF((C34=""),"",VLOOKUP(C34,Phases!$A$2:$B$4,2,FALSE()))</f>
        <v>Notification Review</v>
      </c>
      <c r="F34" s="4" t="s">
        <v>77</v>
      </c>
      <c r="G34" s="4" t="s">
        <v>78</v>
      </c>
      <c r="H34" s="4" t="s">
        <v>32</v>
      </c>
      <c r="I34" s="13" t="b">
        <f aca="false">FALSE()</f>
        <v>0</v>
      </c>
      <c r="J34" s="2" t="n">
        <v>0</v>
      </c>
      <c r="K34" s="1" t="n">
        <v>0</v>
      </c>
      <c r="L34" s="10" t="s">
        <v>36</v>
      </c>
      <c r="M34" s="1" t="n">
        <v>33</v>
      </c>
    </row>
    <row r="35" customFormat="false" ht="14.25" hidden="false" customHeight="false" outlineLevel="0" collapsed="false">
      <c r="A35" s="1" t="n">
        <v>34</v>
      </c>
      <c r="B35" s="1" t="n">
        <v>33</v>
      </c>
      <c r="C35" s="11" t="n">
        <v>2</v>
      </c>
      <c r="D35" s="19" t="s">
        <v>79</v>
      </c>
      <c r="E35" s="8" t="str">
        <f aca="false">IF((C35=""),"",VLOOKUP(C35,Phases!$A$2:$B$4,2,FALSE()))</f>
        <v>Notification Review</v>
      </c>
      <c r="F35" s="4" t="s">
        <v>53</v>
      </c>
      <c r="G35" s="4" t="s">
        <v>54</v>
      </c>
      <c r="H35" s="4" t="s">
        <v>32</v>
      </c>
      <c r="I35" s="13" t="b">
        <f aca="false">FALSE()</f>
        <v>0</v>
      </c>
      <c r="J35" s="2" t="n">
        <v>0</v>
      </c>
      <c r="K35" s="1" t="n">
        <v>0</v>
      </c>
      <c r="L35" s="10" t="s">
        <v>36</v>
      </c>
      <c r="M35" s="1" t="n">
        <v>34</v>
      </c>
    </row>
    <row r="36" customFormat="false" ht="14.25" hidden="false" customHeight="false" outlineLevel="0" collapsed="false">
      <c r="A36" s="1" t="n">
        <v>35</v>
      </c>
      <c r="B36" s="1" t="n">
        <v>33</v>
      </c>
      <c r="C36" s="11" t="n">
        <v>2</v>
      </c>
      <c r="D36" s="20" t="s">
        <v>80</v>
      </c>
      <c r="E36" s="8" t="str">
        <f aca="false">IF((C36=""),"",VLOOKUP(C36,Phases!$A$2:$B$4,2,FALSE()))</f>
        <v>Notification Review</v>
      </c>
      <c r="F36" s="4" t="s">
        <v>56</v>
      </c>
      <c r="G36" s="4" t="s">
        <v>54</v>
      </c>
      <c r="H36" s="4" t="s">
        <v>32</v>
      </c>
      <c r="I36" s="13" t="b">
        <f aca="false">FALSE()</f>
        <v>0</v>
      </c>
      <c r="J36" s="2" t="n">
        <v>0</v>
      </c>
      <c r="K36" s="1" t="n">
        <v>0</v>
      </c>
      <c r="L36" s="10" t="s">
        <v>36</v>
      </c>
      <c r="M36" s="1" t="n">
        <v>35</v>
      </c>
    </row>
    <row r="37" customFormat="false" ht="14.25" hidden="false" customHeight="false" outlineLevel="0" collapsed="false">
      <c r="A37" s="1" t="n">
        <v>36</v>
      </c>
      <c r="C37" s="11" t="n">
        <v>2</v>
      </c>
      <c r="D37" s="2" t="s">
        <v>81</v>
      </c>
      <c r="E37" s="8" t="str">
        <f aca="false">IF((C37=""),"",VLOOKUP(C37,Phases!$A$2:$B$4,2,FALSE()))</f>
        <v>Notification Review</v>
      </c>
      <c r="F37" s="4" t="s">
        <v>82</v>
      </c>
      <c r="G37" s="4" t="s">
        <v>78</v>
      </c>
      <c r="H37" s="4" t="s">
        <v>32</v>
      </c>
      <c r="I37" s="13" t="b">
        <f aca="false">FALSE()</f>
        <v>0</v>
      </c>
      <c r="J37" s="2" t="n">
        <v>0</v>
      </c>
      <c r="K37" s="1" t="n">
        <v>0</v>
      </c>
      <c r="L37" s="10" t="s">
        <v>36</v>
      </c>
      <c r="M37" s="1" t="n">
        <v>36</v>
      </c>
    </row>
    <row r="38" customFormat="false" ht="14.25" hidden="false" customHeight="false" outlineLevel="0" collapsed="false">
      <c r="A38" s="1" t="n">
        <v>37</v>
      </c>
      <c r="B38" s="1" t="n">
        <v>36</v>
      </c>
      <c r="C38" s="11" t="n">
        <v>2</v>
      </c>
      <c r="D38" s="19" t="s">
        <v>83</v>
      </c>
      <c r="E38" s="8" t="str">
        <f aca="false">IF((C38=""),"",VLOOKUP(C38,Phases!$A$2:$B$4,2,FALSE()))</f>
        <v>Notification Review</v>
      </c>
      <c r="F38" s="4" t="s">
        <v>53</v>
      </c>
      <c r="G38" s="4" t="s">
        <v>54</v>
      </c>
      <c r="H38" s="4" t="s">
        <v>32</v>
      </c>
      <c r="I38" s="13" t="b">
        <f aca="false">FALSE()</f>
        <v>0</v>
      </c>
      <c r="J38" s="2" t="n">
        <v>0</v>
      </c>
      <c r="K38" s="1" t="n">
        <v>0</v>
      </c>
      <c r="L38" s="10" t="s">
        <v>36</v>
      </c>
      <c r="M38" s="1" t="n">
        <v>37</v>
      </c>
    </row>
    <row r="39" customFormat="false" ht="14.25" hidden="false" customHeight="false" outlineLevel="0" collapsed="false">
      <c r="A39" s="1" t="n">
        <v>38</v>
      </c>
      <c r="B39" s="1" t="n">
        <v>36</v>
      </c>
      <c r="C39" s="11" t="n">
        <v>2</v>
      </c>
      <c r="D39" s="20" t="s">
        <v>84</v>
      </c>
      <c r="E39" s="8" t="str">
        <f aca="false">IF((C39=""),"",VLOOKUP(C39,Phases!$A$2:$B$4,2,FALSE()))</f>
        <v>Notification Review</v>
      </c>
      <c r="F39" s="4" t="s">
        <v>56</v>
      </c>
      <c r="G39" s="4" t="s">
        <v>54</v>
      </c>
      <c r="H39" s="4" t="s">
        <v>32</v>
      </c>
      <c r="I39" s="13" t="b">
        <f aca="false">FALSE()</f>
        <v>0</v>
      </c>
      <c r="J39" s="2" t="n">
        <v>0</v>
      </c>
      <c r="K39" s="1" t="n">
        <v>0</v>
      </c>
      <c r="L39" s="10" t="s">
        <v>36</v>
      </c>
      <c r="M39" s="1" t="n">
        <v>38</v>
      </c>
    </row>
    <row r="40" customFormat="false" ht="14.25" hidden="false" customHeight="false" outlineLevel="0" collapsed="false">
      <c r="A40" s="1" t="n">
        <v>39</v>
      </c>
      <c r="C40" s="11" t="n">
        <v>2</v>
      </c>
      <c r="D40" s="14" t="s">
        <v>85</v>
      </c>
      <c r="E40" s="8" t="str">
        <f aca="false">IF((C40=""),"",VLOOKUP(C40,Phases!$A$2:$B$4,2,FALSE()))</f>
        <v>Notification Review</v>
      </c>
      <c r="F40" s="4" t="s">
        <v>86</v>
      </c>
      <c r="G40" s="4" t="s">
        <v>40</v>
      </c>
      <c r="H40" s="4" t="s">
        <v>32</v>
      </c>
      <c r="I40" s="13" t="b">
        <f aca="false">FALSE()</f>
        <v>0</v>
      </c>
      <c r="J40" s="2" t="n">
        <v>0</v>
      </c>
      <c r="K40" s="1" t="n">
        <v>0</v>
      </c>
      <c r="L40" s="10" t="s">
        <v>36</v>
      </c>
      <c r="M40" s="1" t="n">
        <v>39</v>
      </c>
    </row>
    <row r="41" customFormat="false" ht="14.25" hidden="false" customHeight="false" outlineLevel="0" collapsed="false">
      <c r="A41" s="1" t="n">
        <v>40</v>
      </c>
      <c r="B41" s="1" t="n">
        <v>39</v>
      </c>
      <c r="C41" s="11" t="n">
        <v>2</v>
      </c>
      <c r="D41" s="19" t="s">
        <v>87</v>
      </c>
      <c r="E41" s="8" t="str">
        <f aca="false">IF((C41=""),"",VLOOKUP(C41,Phases!$A$2:$B$4,2,FALSE()))</f>
        <v>Notification Review</v>
      </c>
      <c r="F41" s="4" t="s">
        <v>53</v>
      </c>
      <c r="G41" s="4" t="s">
        <v>54</v>
      </c>
      <c r="H41" s="4" t="s">
        <v>32</v>
      </c>
      <c r="I41" s="13" t="b">
        <f aca="false">FALSE()</f>
        <v>0</v>
      </c>
      <c r="J41" s="2" t="n">
        <v>0</v>
      </c>
      <c r="K41" s="1" t="n">
        <v>0</v>
      </c>
      <c r="L41" s="10" t="s">
        <v>36</v>
      </c>
      <c r="M41" s="1" t="n">
        <v>40</v>
      </c>
    </row>
    <row r="42" customFormat="false" ht="14.25" hidden="false" customHeight="false" outlineLevel="0" collapsed="false">
      <c r="A42" s="1" t="n">
        <v>41</v>
      </c>
      <c r="B42" s="1" t="n">
        <v>39</v>
      </c>
      <c r="C42" s="11" t="n">
        <v>2</v>
      </c>
      <c r="D42" s="20" t="s">
        <v>88</v>
      </c>
      <c r="E42" s="8" t="str">
        <f aca="false">IF((C42=""),"",VLOOKUP(C42,Phases!$A$2:$B$4,2,FALSE()))</f>
        <v>Notification Review</v>
      </c>
      <c r="F42" s="4" t="s">
        <v>56</v>
      </c>
      <c r="G42" s="4" t="s">
        <v>54</v>
      </c>
      <c r="H42" s="4" t="s">
        <v>32</v>
      </c>
      <c r="I42" s="13" t="b">
        <f aca="false">FALSE()</f>
        <v>0</v>
      </c>
      <c r="J42" s="2" t="n">
        <v>0</v>
      </c>
      <c r="K42" s="1" t="n">
        <v>0</v>
      </c>
      <c r="L42" s="10" t="s">
        <v>36</v>
      </c>
      <c r="M42" s="1" t="n">
        <v>41</v>
      </c>
    </row>
    <row r="43" customFormat="false" ht="14.25" hidden="false" customHeight="false" outlineLevel="0" collapsed="false">
      <c r="A43" s="1" t="n">
        <v>42</v>
      </c>
      <c r="C43" s="11" t="n">
        <v>2</v>
      </c>
      <c r="D43" s="14" t="s">
        <v>89</v>
      </c>
      <c r="E43" s="8" t="str">
        <f aca="false">IF((C43=""),"",VLOOKUP(C43,Phases!$A$2:$B$4,2,FALSE()))</f>
        <v>Notification Review</v>
      </c>
      <c r="F43" s="4" t="s">
        <v>42</v>
      </c>
      <c r="G43" s="4" t="s">
        <v>40</v>
      </c>
      <c r="H43" s="4" t="s">
        <v>32</v>
      </c>
      <c r="I43" s="13" t="b">
        <f aca="false">FALSE()</f>
        <v>0</v>
      </c>
      <c r="J43" s="2" t="n">
        <v>0</v>
      </c>
      <c r="K43" s="1" t="n">
        <v>0</v>
      </c>
      <c r="L43" s="10" t="s">
        <v>36</v>
      </c>
      <c r="M43" s="1" t="n">
        <v>42</v>
      </c>
    </row>
    <row r="44" customFormat="false" ht="14.25" hidden="false" customHeight="false" outlineLevel="0" collapsed="false">
      <c r="A44" s="1" t="n">
        <v>43</v>
      </c>
      <c r="B44" s="1" t="n">
        <v>42</v>
      </c>
      <c r="C44" s="11" t="n">
        <v>2</v>
      </c>
      <c r="D44" s="19" t="s">
        <v>90</v>
      </c>
      <c r="E44" s="8" t="str">
        <f aca="false">IF((C44=""),"",VLOOKUP(C44,Phases!$A$2:$B$4,2,FALSE()))</f>
        <v>Notification Review</v>
      </c>
      <c r="F44" s="4" t="s">
        <v>53</v>
      </c>
      <c r="G44" s="4" t="s">
        <v>54</v>
      </c>
      <c r="H44" s="4" t="s">
        <v>32</v>
      </c>
      <c r="I44" s="13" t="b">
        <f aca="false">FALSE()</f>
        <v>0</v>
      </c>
      <c r="J44" s="2" t="n">
        <v>0</v>
      </c>
      <c r="K44" s="1" t="n">
        <v>0</v>
      </c>
      <c r="L44" s="10" t="s">
        <v>36</v>
      </c>
      <c r="M44" s="1" t="n">
        <v>43</v>
      </c>
    </row>
    <row r="45" customFormat="false" ht="14.25" hidden="false" customHeight="false" outlineLevel="0" collapsed="false">
      <c r="A45" s="1" t="n">
        <v>44</v>
      </c>
      <c r="B45" s="1" t="n">
        <v>42</v>
      </c>
      <c r="C45" s="11" t="n">
        <v>2</v>
      </c>
      <c r="D45" s="20" t="s">
        <v>91</v>
      </c>
      <c r="E45" s="8" t="str">
        <f aca="false">IF((C45=""),"",VLOOKUP(C45,Phases!$A$2:$B$4,2,FALSE()))</f>
        <v>Notification Review</v>
      </c>
      <c r="F45" s="4" t="s">
        <v>56</v>
      </c>
      <c r="G45" s="4" t="s">
        <v>54</v>
      </c>
      <c r="H45" s="4" t="s">
        <v>32</v>
      </c>
      <c r="I45" s="13" t="b">
        <f aca="false">FALSE()</f>
        <v>0</v>
      </c>
      <c r="J45" s="2" t="n">
        <v>0</v>
      </c>
      <c r="K45" s="1" t="n">
        <v>0</v>
      </c>
      <c r="L45" s="10" t="s">
        <v>36</v>
      </c>
      <c r="M45" s="1" t="n">
        <v>44</v>
      </c>
    </row>
    <row r="46" customFormat="false" ht="14.25" hidden="false" customHeight="false" outlineLevel="0" collapsed="false">
      <c r="A46" s="1" t="n">
        <v>45</v>
      </c>
      <c r="C46" s="11" t="n">
        <v>2</v>
      </c>
      <c r="D46" s="2" t="s">
        <v>44</v>
      </c>
      <c r="E46" s="8" t="str">
        <f aca="false">IF((C46=""),"",VLOOKUP(C46,Phases!$A$2:$B$4,2,FALSE()))</f>
        <v>Notification Review</v>
      </c>
      <c r="F46" s="4" t="s">
        <v>44</v>
      </c>
      <c r="G46" s="4" t="s">
        <v>27</v>
      </c>
      <c r="H46" s="4" t="s">
        <v>32</v>
      </c>
      <c r="I46" s="13" t="b">
        <f aca="false">FALSE()</f>
        <v>0</v>
      </c>
      <c r="J46" s="2" t="n">
        <v>0</v>
      </c>
      <c r="K46" s="1" t="n">
        <v>0</v>
      </c>
      <c r="L46" s="10" t="s">
        <v>36</v>
      </c>
      <c r="M46" s="1" t="n">
        <v>45</v>
      </c>
    </row>
    <row r="47" customFormat="false" ht="14.25" hidden="false" customHeight="false" outlineLevel="0" collapsed="false">
      <c r="A47" s="1" t="n">
        <v>46</v>
      </c>
      <c r="C47" s="16" t="n">
        <v>2</v>
      </c>
      <c r="D47" s="21" t="s">
        <v>92</v>
      </c>
      <c r="E47" s="8" t="str">
        <f aca="false">IF((C47=""),"",VLOOKUP(C47,Phases!$A$2:$B$4,2,FALSE()))</f>
        <v>Notification Review</v>
      </c>
      <c r="F47" s="4" t="s">
        <v>93</v>
      </c>
      <c r="G47" s="4" t="s">
        <v>27</v>
      </c>
      <c r="H47" s="4" t="s">
        <v>46</v>
      </c>
      <c r="I47" s="13" t="b">
        <f aca="false">FALSE()</f>
        <v>0</v>
      </c>
      <c r="J47" s="2" t="n">
        <v>56</v>
      </c>
      <c r="K47" s="1" t="n">
        <v>0</v>
      </c>
      <c r="L47" s="10" t="s">
        <v>29</v>
      </c>
      <c r="M47" s="1" t="n">
        <v>46</v>
      </c>
    </row>
    <row r="48" customFormat="false" ht="14.25" hidden="false" customHeight="false" outlineLevel="0" collapsed="false">
      <c r="A48" s="1" t="n">
        <v>47</v>
      </c>
      <c r="C48" s="6" t="n">
        <v>3</v>
      </c>
      <c r="D48" s="4" t="s">
        <v>94</v>
      </c>
      <c r="E48" s="8" t="str">
        <f aca="false">IF((C48=""),"",VLOOKUP(C48,Phases!$A$2:$B$4,2,FALSE()))</f>
        <v>Notification Decision</v>
      </c>
      <c r="F48" s="4" t="s">
        <v>61</v>
      </c>
      <c r="G48" s="4" t="s">
        <v>27</v>
      </c>
      <c r="H48" s="4" t="s">
        <v>28</v>
      </c>
      <c r="I48" s="13" t="b">
        <f aca="false">FALSE()</f>
        <v>0</v>
      </c>
      <c r="J48" s="2" t="n">
        <v>0</v>
      </c>
      <c r="K48" s="1" t="n">
        <v>0</v>
      </c>
      <c r="L48" s="10" t="s">
        <v>29</v>
      </c>
      <c r="M48" s="1" t="n">
        <v>47</v>
      </c>
    </row>
    <row r="49" customFormat="false" ht="14.25" hidden="false" customHeight="false" outlineLevel="0" collapsed="false">
      <c r="A49" s="1" t="n">
        <v>48</v>
      </c>
      <c r="C49" s="11" t="n">
        <v>3</v>
      </c>
      <c r="D49" s="2" t="s">
        <v>95</v>
      </c>
      <c r="E49" s="8" t="str">
        <f aca="false">IF((C49=""),"",VLOOKUP(C49,Phases!$A$2:$B$4,2,FALSE()))</f>
        <v>Notification Decision</v>
      </c>
      <c r="F49" s="4" t="s">
        <v>96</v>
      </c>
      <c r="G49" s="4" t="s">
        <v>27</v>
      </c>
      <c r="H49" s="4" t="s">
        <v>32</v>
      </c>
      <c r="I49" s="13" t="b">
        <f aca="false">FALSE()</f>
        <v>0</v>
      </c>
      <c r="J49" s="2" t="n">
        <v>0</v>
      </c>
      <c r="K49" s="1" t="n">
        <v>0</v>
      </c>
      <c r="L49" s="10" t="s">
        <v>33</v>
      </c>
      <c r="M49" s="1" t="n">
        <v>48</v>
      </c>
    </row>
    <row r="50" customFormat="false" ht="14.25" hidden="false" customHeight="false" outlineLevel="0" collapsed="false">
      <c r="A50" s="1" t="n">
        <v>49</v>
      </c>
      <c r="B50" s="1" t="n">
        <v>48</v>
      </c>
      <c r="C50" s="11" t="n">
        <v>3</v>
      </c>
      <c r="D50" s="20" t="s">
        <v>97</v>
      </c>
      <c r="E50" s="8" t="str">
        <f aca="false">IF((C50=""),"",VLOOKUP(C50,Phases!$A$2:$B$4,2,FALSE()))</f>
        <v>Notification Decision</v>
      </c>
      <c r="F50" s="4" t="s">
        <v>56</v>
      </c>
      <c r="G50" s="4" t="s">
        <v>54</v>
      </c>
      <c r="H50" s="4" t="s">
        <v>32</v>
      </c>
      <c r="I50" s="13" t="b">
        <f aca="false">FALSE()</f>
        <v>0</v>
      </c>
      <c r="J50" s="2" t="n">
        <v>0</v>
      </c>
      <c r="K50" s="1" t="n">
        <v>0</v>
      </c>
      <c r="L50" s="10" t="s">
        <v>33</v>
      </c>
      <c r="M50" s="1" t="n">
        <v>49</v>
      </c>
    </row>
    <row r="51" customFormat="false" ht="14.25" hidden="false" customHeight="false" outlineLevel="0" collapsed="false">
      <c r="A51" s="1" t="n">
        <v>50</v>
      </c>
      <c r="C51" s="11" t="n">
        <v>3</v>
      </c>
      <c r="D51" s="2" t="s">
        <v>34</v>
      </c>
      <c r="E51" s="8" t="str">
        <f aca="false">IF((C51=""),"",VLOOKUP(C51,Phases!$A$2:$B$4,2,FALSE()))</f>
        <v>Notification Decision</v>
      </c>
      <c r="F51" s="4" t="s">
        <v>35</v>
      </c>
      <c r="G51" s="4" t="s">
        <v>27</v>
      </c>
      <c r="H51" s="4" t="s">
        <v>32</v>
      </c>
      <c r="I51" s="13" t="b">
        <f aca="false">FALSE()</f>
        <v>0</v>
      </c>
      <c r="J51" s="2" t="n">
        <v>0</v>
      </c>
      <c r="K51" s="1" t="n">
        <v>0</v>
      </c>
      <c r="L51" s="10" t="s">
        <v>36</v>
      </c>
      <c r="M51" s="1" t="n">
        <v>50</v>
      </c>
    </row>
    <row r="52" customFormat="false" ht="14.25" hidden="false" customHeight="false" outlineLevel="0" collapsed="false">
      <c r="A52" s="1" t="n">
        <v>51</v>
      </c>
      <c r="C52" s="11" t="n">
        <v>3</v>
      </c>
      <c r="D52" s="2" t="s">
        <v>72</v>
      </c>
      <c r="E52" s="8" t="str">
        <f aca="false">IF((C52=""),"",VLOOKUP(C52,Phases!$A$2:$B$4,2,FALSE()))</f>
        <v>Notification Decision</v>
      </c>
      <c r="F52" s="4" t="s">
        <v>73</v>
      </c>
      <c r="G52" s="4" t="s">
        <v>69</v>
      </c>
      <c r="H52" s="4" t="s">
        <v>32</v>
      </c>
      <c r="I52" s="13" t="b">
        <f aca="false">FALSE()</f>
        <v>0</v>
      </c>
      <c r="J52" s="2" t="n">
        <v>0</v>
      </c>
      <c r="K52" s="1" t="n">
        <v>0</v>
      </c>
      <c r="L52" s="10" t="s">
        <v>36</v>
      </c>
      <c r="M52" s="1" t="n">
        <v>51</v>
      </c>
    </row>
    <row r="53" customFormat="false" ht="14.25" hidden="false" customHeight="false" outlineLevel="0" collapsed="false">
      <c r="A53" s="1" t="n">
        <v>52</v>
      </c>
      <c r="B53" s="1" t="n">
        <v>51</v>
      </c>
      <c r="C53" s="11" t="n">
        <v>3</v>
      </c>
      <c r="D53" s="19" t="s">
        <v>74</v>
      </c>
      <c r="E53" s="8" t="str">
        <f aca="false">IF((C53=""),"",VLOOKUP(C53,Phases!$A$2:$B$4,2,FALSE()))</f>
        <v>Notification Decision</v>
      </c>
      <c r="F53" s="4" t="s">
        <v>53</v>
      </c>
      <c r="G53" s="4" t="s">
        <v>54</v>
      </c>
      <c r="H53" s="4" t="s">
        <v>32</v>
      </c>
      <c r="I53" s="13" t="b">
        <f aca="false">FALSE()</f>
        <v>0</v>
      </c>
      <c r="J53" s="2" t="n">
        <v>0</v>
      </c>
      <c r="K53" s="1" t="n">
        <v>0</v>
      </c>
      <c r="L53" s="10" t="s">
        <v>36</v>
      </c>
      <c r="M53" s="1" t="n">
        <v>52</v>
      </c>
    </row>
    <row r="54" customFormat="false" ht="14.25" hidden="false" customHeight="false" outlineLevel="0" collapsed="false">
      <c r="A54" s="1" t="n">
        <v>53</v>
      </c>
      <c r="B54" s="1" t="n">
        <v>51</v>
      </c>
      <c r="C54" s="11" t="n">
        <v>3</v>
      </c>
      <c r="D54" s="20" t="s">
        <v>75</v>
      </c>
      <c r="E54" s="8" t="str">
        <f aca="false">IF((C54=""),"",VLOOKUP(C54,Phases!$A$2:$B$4,2,FALSE()))</f>
        <v>Notification Decision</v>
      </c>
      <c r="F54" s="4" t="s">
        <v>56</v>
      </c>
      <c r="G54" s="4" t="s">
        <v>54</v>
      </c>
      <c r="H54" s="4" t="s">
        <v>32</v>
      </c>
      <c r="I54" s="13" t="b">
        <f aca="false">FALSE()</f>
        <v>0</v>
      </c>
      <c r="J54" s="2" t="n">
        <v>0</v>
      </c>
      <c r="K54" s="1" t="n">
        <v>0</v>
      </c>
      <c r="L54" s="10" t="s">
        <v>36</v>
      </c>
      <c r="M54" s="1" t="n">
        <v>53</v>
      </c>
    </row>
    <row r="55" customFormat="false" ht="14.25" hidden="false" customHeight="false" outlineLevel="0" collapsed="false">
      <c r="A55" s="1" t="n">
        <v>54</v>
      </c>
      <c r="C55" s="11" t="n">
        <v>3</v>
      </c>
      <c r="D55" s="2" t="s">
        <v>76</v>
      </c>
      <c r="E55" s="8" t="str">
        <f aca="false">IF((C55=""),"",VLOOKUP(C55,Phases!$A$2:$B$4,2,FALSE()))</f>
        <v>Notification Decision</v>
      </c>
      <c r="F55" s="4" t="s">
        <v>77</v>
      </c>
      <c r="G55" s="4" t="s">
        <v>78</v>
      </c>
      <c r="H55" s="4" t="s">
        <v>32</v>
      </c>
      <c r="I55" s="13" t="b">
        <f aca="false">FALSE()</f>
        <v>0</v>
      </c>
      <c r="J55" s="2" t="n">
        <v>0</v>
      </c>
      <c r="K55" s="1" t="n">
        <v>0</v>
      </c>
      <c r="L55" s="10" t="s">
        <v>36</v>
      </c>
      <c r="M55" s="1" t="n">
        <v>54</v>
      </c>
    </row>
    <row r="56" customFormat="false" ht="14.25" hidden="false" customHeight="false" outlineLevel="0" collapsed="false">
      <c r="A56" s="1" t="n">
        <v>55</v>
      </c>
      <c r="B56" s="1" t="n">
        <v>54</v>
      </c>
      <c r="C56" s="11" t="n">
        <v>3</v>
      </c>
      <c r="D56" s="19" t="s">
        <v>79</v>
      </c>
      <c r="E56" s="8" t="str">
        <f aca="false">IF((C56=""),"",VLOOKUP(C56,Phases!$A$2:$B$4,2,FALSE()))</f>
        <v>Notification Decision</v>
      </c>
      <c r="F56" s="4" t="s">
        <v>53</v>
      </c>
      <c r="G56" s="4" t="s">
        <v>54</v>
      </c>
      <c r="H56" s="4" t="s">
        <v>32</v>
      </c>
      <c r="I56" s="13" t="b">
        <f aca="false">FALSE()</f>
        <v>0</v>
      </c>
      <c r="J56" s="2" t="n">
        <v>0</v>
      </c>
      <c r="K56" s="1" t="n">
        <v>0</v>
      </c>
      <c r="L56" s="10" t="s">
        <v>36</v>
      </c>
      <c r="M56" s="1" t="n">
        <v>55</v>
      </c>
    </row>
    <row r="57" customFormat="false" ht="14.25" hidden="false" customHeight="false" outlineLevel="0" collapsed="false">
      <c r="A57" s="1" t="n">
        <v>56</v>
      </c>
      <c r="B57" s="1" t="n">
        <v>54</v>
      </c>
      <c r="C57" s="11" t="n">
        <v>3</v>
      </c>
      <c r="D57" s="20" t="s">
        <v>80</v>
      </c>
      <c r="E57" s="8" t="str">
        <f aca="false">IF((C57=""),"",VLOOKUP(C57,Phases!$A$2:$B$4,2,FALSE()))</f>
        <v>Notification Decision</v>
      </c>
      <c r="F57" s="4" t="s">
        <v>56</v>
      </c>
      <c r="G57" s="4" t="s">
        <v>54</v>
      </c>
      <c r="H57" s="4" t="s">
        <v>32</v>
      </c>
      <c r="I57" s="13" t="b">
        <f aca="false">FALSE()</f>
        <v>0</v>
      </c>
      <c r="J57" s="2" t="n">
        <v>0</v>
      </c>
      <c r="K57" s="1" t="n">
        <v>0</v>
      </c>
      <c r="L57" s="10" t="s">
        <v>36</v>
      </c>
      <c r="M57" s="1" t="n">
        <v>56</v>
      </c>
    </row>
    <row r="58" customFormat="false" ht="14.25" hidden="false" customHeight="false" outlineLevel="0" collapsed="false">
      <c r="A58" s="1" t="n">
        <v>57</v>
      </c>
      <c r="C58" s="11" t="n">
        <v>3</v>
      </c>
      <c r="D58" s="2" t="s">
        <v>81</v>
      </c>
      <c r="E58" s="8" t="str">
        <f aca="false">IF((C58=""),"",VLOOKUP(C58,Phases!$A$2:$B$4,2,FALSE()))</f>
        <v>Notification Decision</v>
      </c>
      <c r="F58" s="4" t="s">
        <v>82</v>
      </c>
      <c r="G58" s="4" t="s">
        <v>78</v>
      </c>
      <c r="H58" s="4" t="s">
        <v>32</v>
      </c>
      <c r="I58" s="13" t="b">
        <f aca="false">FALSE()</f>
        <v>0</v>
      </c>
      <c r="J58" s="2" t="n">
        <v>0</v>
      </c>
      <c r="K58" s="1" t="n">
        <v>0</v>
      </c>
      <c r="L58" s="10" t="s">
        <v>36</v>
      </c>
      <c r="M58" s="1" t="n">
        <v>57</v>
      </c>
    </row>
    <row r="59" customFormat="false" ht="14.25" hidden="false" customHeight="false" outlineLevel="0" collapsed="false">
      <c r="A59" s="1" t="n">
        <v>58</v>
      </c>
      <c r="B59" s="1" t="n">
        <v>57</v>
      </c>
      <c r="C59" s="11" t="n">
        <v>3</v>
      </c>
      <c r="D59" s="19" t="s">
        <v>83</v>
      </c>
      <c r="E59" s="8" t="str">
        <f aca="false">IF((C59=""),"",VLOOKUP(C59,Phases!$A$2:$B$4,2,FALSE()))</f>
        <v>Notification Decision</v>
      </c>
      <c r="F59" s="4" t="s">
        <v>53</v>
      </c>
      <c r="G59" s="4" t="s">
        <v>54</v>
      </c>
      <c r="H59" s="4" t="s">
        <v>32</v>
      </c>
      <c r="I59" s="13" t="b">
        <f aca="false">FALSE()</f>
        <v>0</v>
      </c>
      <c r="J59" s="2" t="n">
        <v>0</v>
      </c>
      <c r="K59" s="1" t="n">
        <v>0</v>
      </c>
      <c r="L59" s="10" t="s">
        <v>36</v>
      </c>
      <c r="M59" s="1" t="n">
        <v>58</v>
      </c>
    </row>
    <row r="60" customFormat="false" ht="14.25" hidden="false" customHeight="false" outlineLevel="0" collapsed="false">
      <c r="A60" s="1" t="n">
        <v>59</v>
      </c>
      <c r="B60" s="1" t="n">
        <v>57</v>
      </c>
      <c r="C60" s="11" t="n">
        <v>3</v>
      </c>
      <c r="D60" s="20" t="s">
        <v>84</v>
      </c>
      <c r="E60" s="8" t="str">
        <f aca="false">IF((C60=""),"",VLOOKUP(C60,Phases!$A$2:$B$4,2,FALSE()))</f>
        <v>Notification Decision</v>
      </c>
      <c r="F60" s="4" t="s">
        <v>56</v>
      </c>
      <c r="G60" s="4" t="s">
        <v>54</v>
      </c>
      <c r="H60" s="4" t="s">
        <v>32</v>
      </c>
      <c r="I60" s="13" t="b">
        <f aca="false">FALSE()</f>
        <v>0</v>
      </c>
      <c r="J60" s="2" t="n">
        <v>0</v>
      </c>
      <c r="K60" s="1" t="n">
        <v>0</v>
      </c>
      <c r="L60" s="10" t="s">
        <v>36</v>
      </c>
      <c r="M60" s="1" t="n">
        <v>59</v>
      </c>
    </row>
    <row r="61" customFormat="false" ht="14.25" hidden="false" customHeight="false" outlineLevel="0" collapsed="false">
      <c r="A61" s="1" t="n">
        <v>60</v>
      </c>
      <c r="C61" s="11" t="n">
        <v>3</v>
      </c>
      <c r="D61" s="14" t="s">
        <v>85</v>
      </c>
      <c r="E61" s="8" t="str">
        <f aca="false">IF((C61=""),"",VLOOKUP(C61,Phases!$A$2:$B$4,2,FALSE()))</f>
        <v>Notification Decision</v>
      </c>
      <c r="F61" s="4" t="s">
        <v>86</v>
      </c>
      <c r="G61" s="4" t="s">
        <v>40</v>
      </c>
      <c r="H61" s="4" t="s">
        <v>32</v>
      </c>
      <c r="I61" s="13" t="b">
        <f aca="false">FALSE()</f>
        <v>0</v>
      </c>
      <c r="J61" s="2" t="n">
        <v>0</v>
      </c>
      <c r="K61" s="1" t="n">
        <v>0</v>
      </c>
      <c r="L61" s="10" t="s">
        <v>36</v>
      </c>
      <c r="M61" s="1" t="n">
        <v>60</v>
      </c>
    </row>
    <row r="62" customFormat="false" ht="14.25" hidden="false" customHeight="false" outlineLevel="0" collapsed="false">
      <c r="A62" s="1" t="n">
        <v>61</v>
      </c>
      <c r="B62" s="1" t="n">
        <v>60</v>
      </c>
      <c r="C62" s="11" t="n">
        <v>3</v>
      </c>
      <c r="D62" s="19" t="s">
        <v>87</v>
      </c>
      <c r="E62" s="8" t="str">
        <f aca="false">IF((C62=""),"",VLOOKUP(C62,Phases!$A$2:$B$4,2,FALSE()))</f>
        <v>Notification Decision</v>
      </c>
      <c r="F62" s="4" t="s">
        <v>53</v>
      </c>
      <c r="G62" s="4" t="s">
        <v>54</v>
      </c>
      <c r="H62" s="4" t="s">
        <v>32</v>
      </c>
      <c r="I62" s="13" t="b">
        <f aca="false">FALSE()</f>
        <v>0</v>
      </c>
      <c r="J62" s="2" t="n">
        <v>0</v>
      </c>
      <c r="K62" s="1" t="n">
        <v>0</v>
      </c>
      <c r="L62" s="10" t="s">
        <v>36</v>
      </c>
      <c r="M62" s="1" t="n">
        <v>61</v>
      </c>
    </row>
    <row r="63" customFormat="false" ht="14.25" hidden="false" customHeight="false" outlineLevel="0" collapsed="false">
      <c r="A63" s="1" t="n">
        <v>62</v>
      </c>
      <c r="B63" s="1" t="n">
        <v>60</v>
      </c>
      <c r="C63" s="11" t="n">
        <v>3</v>
      </c>
      <c r="D63" s="20" t="s">
        <v>88</v>
      </c>
      <c r="E63" s="8" t="str">
        <f aca="false">IF((C63=""),"",VLOOKUP(C63,Phases!$A$2:$B$4,2,FALSE()))</f>
        <v>Notification Decision</v>
      </c>
      <c r="F63" s="4" t="s">
        <v>56</v>
      </c>
      <c r="G63" s="4" t="s">
        <v>54</v>
      </c>
      <c r="H63" s="4" t="s">
        <v>32</v>
      </c>
      <c r="I63" s="13" t="b">
        <f aca="false">FALSE()</f>
        <v>0</v>
      </c>
      <c r="J63" s="2" t="n">
        <v>0</v>
      </c>
      <c r="K63" s="1" t="n">
        <v>0</v>
      </c>
      <c r="L63" s="10" t="s">
        <v>36</v>
      </c>
      <c r="M63" s="1" t="n">
        <v>62</v>
      </c>
    </row>
    <row r="64" customFormat="false" ht="14.25" hidden="false" customHeight="false" outlineLevel="0" collapsed="false">
      <c r="A64" s="1" t="n">
        <v>63</v>
      </c>
      <c r="C64" s="11" t="n">
        <v>3</v>
      </c>
      <c r="D64" s="14" t="s">
        <v>89</v>
      </c>
      <c r="E64" s="8" t="str">
        <f aca="false">IF((C64=""),"",VLOOKUP(C64,Phases!$A$2:$B$4,2,FALSE()))</f>
        <v>Notification Decision</v>
      </c>
      <c r="F64" s="4" t="s">
        <v>42</v>
      </c>
      <c r="G64" s="4" t="s">
        <v>40</v>
      </c>
      <c r="H64" s="4" t="s">
        <v>32</v>
      </c>
      <c r="I64" s="13" t="b">
        <f aca="false">FALSE()</f>
        <v>0</v>
      </c>
      <c r="J64" s="2" t="n">
        <v>0</v>
      </c>
      <c r="K64" s="1" t="n">
        <v>0</v>
      </c>
      <c r="L64" s="10" t="s">
        <v>36</v>
      </c>
      <c r="M64" s="1" t="n">
        <v>63</v>
      </c>
    </row>
    <row r="65" customFormat="false" ht="14.25" hidden="false" customHeight="false" outlineLevel="0" collapsed="false">
      <c r="A65" s="1" t="n">
        <v>64</v>
      </c>
      <c r="B65" s="1" t="n">
        <v>63</v>
      </c>
      <c r="C65" s="11" t="n">
        <v>3</v>
      </c>
      <c r="D65" s="19" t="s">
        <v>90</v>
      </c>
      <c r="E65" s="8" t="str">
        <f aca="false">IF((C65=""),"",VLOOKUP(C65,Phases!$A$2:$B$4,2,FALSE()))</f>
        <v>Notification Decision</v>
      </c>
      <c r="F65" s="4" t="s">
        <v>53</v>
      </c>
      <c r="G65" s="4" t="s">
        <v>54</v>
      </c>
      <c r="H65" s="4" t="s">
        <v>32</v>
      </c>
      <c r="I65" s="13" t="b">
        <f aca="false">FALSE()</f>
        <v>0</v>
      </c>
      <c r="J65" s="2" t="n">
        <v>0</v>
      </c>
      <c r="K65" s="1" t="n">
        <v>0</v>
      </c>
      <c r="L65" s="10" t="s">
        <v>36</v>
      </c>
      <c r="M65" s="1" t="n">
        <v>64</v>
      </c>
    </row>
    <row r="66" customFormat="false" ht="14.25" hidden="false" customHeight="false" outlineLevel="0" collapsed="false">
      <c r="A66" s="1" t="n">
        <v>65</v>
      </c>
      <c r="B66" s="1" t="n">
        <v>63</v>
      </c>
      <c r="C66" s="11" t="n">
        <v>3</v>
      </c>
      <c r="D66" s="20" t="s">
        <v>91</v>
      </c>
      <c r="E66" s="8" t="str">
        <f aca="false">IF((C66=""),"",VLOOKUP(C66,Phases!$A$2:$B$4,2,FALSE()))</f>
        <v>Notification Decision</v>
      </c>
      <c r="F66" s="4" t="s">
        <v>56</v>
      </c>
      <c r="G66" s="4" t="s">
        <v>54</v>
      </c>
      <c r="H66" s="4" t="s">
        <v>32</v>
      </c>
      <c r="I66" s="13" t="b">
        <f aca="false">FALSE()</f>
        <v>0</v>
      </c>
      <c r="J66" s="2" t="n">
        <v>0</v>
      </c>
      <c r="K66" s="1" t="n">
        <v>0</v>
      </c>
      <c r="L66" s="10" t="s">
        <v>36</v>
      </c>
      <c r="M66" s="1" t="n">
        <v>65</v>
      </c>
    </row>
    <row r="67" customFormat="false" ht="14.25" hidden="false" customHeight="false" outlineLevel="0" collapsed="false">
      <c r="A67" s="1" t="n">
        <v>66</v>
      </c>
      <c r="C67" s="11" t="n">
        <v>3</v>
      </c>
      <c r="D67" s="2" t="s">
        <v>44</v>
      </c>
      <c r="E67" s="8" t="str">
        <f aca="false">IF((C67=""),"",VLOOKUP(C67,Phases!$A$2:$B$4,2,FALSE()))</f>
        <v>Notification Decision</v>
      </c>
      <c r="F67" s="4" t="s">
        <v>44</v>
      </c>
      <c r="G67" s="4" t="s">
        <v>27</v>
      </c>
      <c r="H67" s="4" t="s">
        <v>32</v>
      </c>
      <c r="I67" s="13" t="b">
        <f aca="false">FALSE()</f>
        <v>0</v>
      </c>
      <c r="J67" s="2" t="n">
        <v>0</v>
      </c>
      <c r="K67" s="1" t="n">
        <v>0</v>
      </c>
      <c r="L67" s="10" t="s">
        <v>36</v>
      </c>
      <c r="M67" s="1" t="n">
        <v>66</v>
      </c>
    </row>
    <row r="68" customFormat="false" ht="14.25" hidden="false" customHeight="false" outlineLevel="0" collapsed="false">
      <c r="A68" s="1" t="n">
        <v>67</v>
      </c>
      <c r="C68" s="16" t="n">
        <v>3</v>
      </c>
      <c r="D68" s="21" t="s">
        <v>98</v>
      </c>
      <c r="E68" s="8" t="str">
        <f aca="false">IF((C68=""),"",VLOOKUP(C68,Phases!$A$2:$B$4,2,FALSE()))</f>
        <v>Notification Decision</v>
      </c>
      <c r="F68" s="4" t="s">
        <v>49</v>
      </c>
      <c r="G68" s="4" t="s">
        <v>40</v>
      </c>
      <c r="H68" s="4" t="s">
        <v>46</v>
      </c>
      <c r="I68" s="13" t="b">
        <f aca="false">FALSE()</f>
        <v>0</v>
      </c>
      <c r="J68" s="2" t="n">
        <v>4</v>
      </c>
      <c r="K68" s="1" t="n">
        <v>0</v>
      </c>
      <c r="L68" s="10" t="s">
        <v>29</v>
      </c>
      <c r="M68" s="1" t="n">
        <v>67</v>
      </c>
    </row>
    <row r="69" customFormat="false" ht="14.25" hidden="false" customHeight="false" outlineLevel="0" collapsed="false">
      <c r="A69" s="1" t="n">
        <v>68</v>
      </c>
      <c r="B69" s="1" t="n">
        <v>67</v>
      </c>
      <c r="C69" s="11" t="n">
        <v>3</v>
      </c>
      <c r="D69" s="19" t="s">
        <v>99</v>
      </c>
      <c r="E69" s="8" t="str">
        <f aca="false">IF((C69=""),"",VLOOKUP(C69,Phases!$A$2:$B$4,2,FALSE()))</f>
        <v>Notification Decision</v>
      </c>
      <c r="F69" s="4" t="s">
        <v>53</v>
      </c>
      <c r="G69" s="4" t="s">
        <v>54</v>
      </c>
      <c r="H69" s="4" t="s">
        <v>32</v>
      </c>
      <c r="I69" s="13" t="b">
        <f aca="false">FALSE()</f>
        <v>0</v>
      </c>
      <c r="J69" s="2" t="n">
        <v>0</v>
      </c>
      <c r="K69" s="1" t="n">
        <v>0</v>
      </c>
      <c r="L69" s="10" t="s">
        <v>29</v>
      </c>
      <c r="M69" s="1" t="n">
        <v>68</v>
      </c>
    </row>
    <row r="70" customFormat="false" ht="14.25" hidden="false" customHeight="false" outlineLevel="0" collapsed="false">
      <c r="A70" s="1" t="n">
        <v>69</v>
      </c>
      <c r="B70" s="1" t="n">
        <v>67</v>
      </c>
      <c r="C70" s="11" t="n">
        <v>3</v>
      </c>
      <c r="D70" s="20" t="s">
        <v>100</v>
      </c>
      <c r="E70" s="8" t="str">
        <f aca="false">IF((C70=""),"",VLOOKUP(C70,Phases!$A$2:$B$4,2,FALSE()))</f>
        <v>Notification Decision</v>
      </c>
      <c r="F70" s="4" t="s">
        <v>56</v>
      </c>
      <c r="G70" s="4" t="s">
        <v>54</v>
      </c>
      <c r="H70" s="4" t="s">
        <v>32</v>
      </c>
      <c r="I70" s="13" t="b">
        <f aca="false">FALSE()</f>
        <v>0</v>
      </c>
      <c r="J70" s="2" t="n">
        <v>0</v>
      </c>
      <c r="K70" s="1" t="n">
        <v>0</v>
      </c>
      <c r="L70" s="10" t="s">
        <v>29</v>
      </c>
      <c r="M70" s="1" t="n">
        <v>69</v>
      </c>
    </row>
  </sheetData>
  <autoFilter ref="A1:M70"/>
  <conditionalFormatting sqref="H1:H70">
    <cfRule type="containsText" priority="2" operator="containsText" aboveAverage="0" equalAverage="0" bottom="0" percent="0" rank="0" text="END" dxfId="12">
      <formula>NOT(ISERROR(SEARCH("END",H1)))</formula>
    </cfRule>
    <cfRule type="containsText" priority="3" operator="containsText" aboveAverage="0" equalAverage="0" bottom="0" percent="0" rank="0" text="START" dxfId="13">
      <formula>NOT(ISERROR(SEARCH("START",H1)))</formula>
    </cfRule>
  </conditionalFormatting>
  <dataValidations count="6">
    <dataValidation allowBlank="true" errorStyle="stop" operator="between" showDropDown="false" showErrorMessage="true" showInputMessage="true" sqref="H2:H70" type="list">
      <formula1>Lookups!$Q$3:$Q$5</formula1>
      <formula2>0</formula2>
    </dataValidation>
    <dataValidation allowBlank="true" errorStyle="stop" operator="between" showDropDown="false" showErrorMessage="true" showInputMessage="true" sqref="F2:F70" type="list">
      <formula1>Lookups!$I$3:$I$39</formula1>
      <formula2>0</formula2>
    </dataValidation>
    <dataValidation allowBlank="true" errorStyle="stop" operator="between" showDropDown="false" showErrorMessage="true" showInputMessage="true" sqref="I2:I70" type="list">
      <formula1>Lookups!$S$3:$S$4</formula1>
      <formula2>0</formula2>
    </dataValidation>
    <dataValidation allowBlank="true" errorStyle="stop" operator="between" showDropDown="false" showErrorMessage="true" showInputMessage="true" sqref="G2:G70" type="list">
      <formula1>Lookups!$K$3:$K$9</formula1>
      <formula2>0</formula2>
    </dataValidation>
    <dataValidation allowBlank="true" errorStyle="stop" operator="between" showDropDown="false" showErrorMessage="true" showInputMessage="true" sqref="C2:C70" type="list">
      <formula1>Phases!$A$2:$A$4</formula1>
      <formula2>0</formula2>
    </dataValidation>
    <dataValidation allowBlank="true" errorStyle="stop" operator="between" showDropDown="false" showErrorMessage="true" showInputMessage="true" sqref="L2:L70" type="list">
      <formula1>Lookups!$M$3:$M$6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C33" activeCellId="0" sqref="C33"/>
    </sheetView>
  </sheetViews>
  <sheetFormatPr defaultColWidth="8.91015625" defaultRowHeight="14.25" zeroHeight="false" outlineLevelRow="0" outlineLevelCol="0"/>
  <cols>
    <col collapsed="false" customWidth="true" hidden="false" outlineLevel="0" max="1" min="1" style="2" width="6.73"/>
    <col collapsed="false" customWidth="true" hidden="false" outlineLevel="0" max="2" min="2" style="2" width="12.72"/>
    <col collapsed="false" customWidth="true" hidden="false" outlineLevel="0" max="5" min="3" style="2" width="70.73"/>
    <col collapsed="false" customWidth="true" hidden="false" outlineLevel="0" max="6" min="6" style="2" width="12.72"/>
    <col collapsed="false" customWidth="false" hidden="false" outlineLevel="0" max="1024" min="7" style="2" width="8.91"/>
  </cols>
  <sheetData>
    <row r="1" s="3" customFormat="true" ht="14.25" hidden="false" customHeight="false" outlineLevel="0" collapsed="false">
      <c r="A1" s="3" t="s">
        <v>0</v>
      </c>
      <c r="B1" s="3" t="s">
        <v>101</v>
      </c>
      <c r="C1" s="3" t="s">
        <v>102</v>
      </c>
      <c r="D1" s="3" t="s">
        <v>103</v>
      </c>
      <c r="E1" s="3" t="s">
        <v>104</v>
      </c>
      <c r="F1" s="3" t="s">
        <v>8</v>
      </c>
    </row>
    <row r="2" customFormat="false" ht="14.25" hidden="false" customHeight="false" outlineLevel="0" collapsed="false">
      <c r="A2" s="1" t="n">
        <v>1</v>
      </c>
      <c r="B2" s="11" t="n">
        <v>5</v>
      </c>
      <c r="C2" s="8" t="str">
        <f aca="false">IF((B2=""),"",VLOOKUP(B2,Events!$A$2:$D$319,4,FALSE()))</f>
        <v>EAO's Viewpoint on Submitted Document</v>
      </c>
      <c r="D2" s="2" t="s">
        <v>105</v>
      </c>
      <c r="F2" s="1" t="n">
        <v>1</v>
      </c>
    </row>
    <row r="3" customFormat="false" ht="14.25" hidden="false" customHeight="false" outlineLevel="0" collapsed="false">
      <c r="A3" s="1" t="n">
        <v>2</v>
      </c>
      <c r="B3" s="11" t="n">
        <v>5</v>
      </c>
      <c r="C3" s="8" t="str">
        <f aca="false">IF((B3=""),"",VLOOKUP(B3,Events!$A$2:$D$319,4,FALSE()))</f>
        <v>EAO's Viewpoint on Submitted Document</v>
      </c>
      <c r="D3" s="2" t="s">
        <v>106</v>
      </c>
      <c r="F3" s="1" t="n">
        <v>2</v>
      </c>
    </row>
    <row r="4" customFormat="false" ht="14.25" hidden="false" customHeight="false" outlineLevel="0" collapsed="false">
      <c r="A4" s="1" t="n">
        <v>3</v>
      </c>
      <c r="B4" s="11" t="n">
        <v>6</v>
      </c>
      <c r="C4" s="8" t="str">
        <f aca="false">IF((B4=""),"",VLOOKUP(B4,Events!$A$2:$D$319,4,FALSE()))</f>
        <v>Project Notification Withdrawn</v>
      </c>
      <c r="D4" s="22" t="s">
        <v>107</v>
      </c>
      <c r="E4" s="22"/>
      <c r="F4" s="1" t="n">
        <v>3</v>
      </c>
    </row>
    <row r="5" customFormat="false" ht="14.25" hidden="false" customHeight="false" outlineLevel="0" collapsed="false">
      <c r="A5" s="1" t="n">
        <v>4</v>
      </c>
      <c r="B5" s="11" t="n">
        <v>7</v>
      </c>
      <c r="C5" s="8" t="str">
        <f aca="false">IF((B5=""),"",VLOOKUP(B5,Events!$A$2:$D$319,4,FALSE()))</f>
        <v>Direct Submission of Project Notification - DELETE this Intake Phase!</v>
      </c>
      <c r="D5" s="2" t="s">
        <v>108</v>
      </c>
      <c r="F5" s="1" t="n">
        <v>4</v>
      </c>
    </row>
    <row r="6" customFormat="false" ht="14.25" hidden="false" customHeight="false" outlineLevel="0" collapsed="false">
      <c r="A6" s="1" t="n">
        <v>5</v>
      </c>
      <c r="B6" s="11" t="n">
        <v>10</v>
      </c>
      <c r="C6" s="8" t="str">
        <f aca="false">IF((B6=""),"",VLOOKUP(B6,Events!$A$2:$D$319,4,FALSE()))</f>
        <v>Project Notification Submission Received (Day Zero)</v>
      </c>
      <c r="D6" s="22" t="s">
        <v>109</v>
      </c>
      <c r="E6" s="22"/>
      <c r="F6" s="1" t="n">
        <v>5</v>
      </c>
    </row>
    <row r="7" customFormat="false" ht="14.25" hidden="false" customHeight="false" outlineLevel="0" collapsed="false">
      <c r="A7" s="1" t="n">
        <v>6</v>
      </c>
      <c r="B7" s="11" t="n">
        <v>11</v>
      </c>
      <c r="C7" s="8" t="str">
        <f aca="false">IF((B7=""),"",VLOOKUP(B7,Events!$A$2:$D$319,4,FALSE()))</f>
        <v>Delegation of PN Decision</v>
      </c>
      <c r="D7" s="2" t="s">
        <v>110</v>
      </c>
      <c r="F7" s="1" t="n">
        <v>6</v>
      </c>
      <c r="G7" s="23"/>
    </row>
    <row r="8" customFormat="false" ht="14.25" hidden="false" customHeight="false" outlineLevel="0" collapsed="false">
      <c r="A8" s="1" t="n">
        <v>7</v>
      </c>
      <c r="B8" s="11" t="n">
        <v>11</v>
      </c>
      <c r="C8" s="8" t="str">
        <f aca="false">IF((B8=""),"",VLOOKUP(B8,Events!$A$2:$D$319,4,FALSE()))</f>
        <v>Delegation of PN Decision</v>
      </c>
      <c r="D8" s="2" t="s">
        <v>111</v>
      </c>
      <c r="F8" s="1" t="n">
        <v>8</v>
      </c>
    </row>
    <row r="9" customFormat="false" ht="14.25" hidden="false" customHeight="false" outlineLevel="0" collapsed="false">
      <c r="A9" s="1" t="n">
        <v>8</v>
      </c>
      <c r="B9" s="11" t="n">
        <v>39</v>
      </c>
      <c r="C9" s="8" t="str">
        <f aca="false">IF((B9=""),"",VLOOKUP(B9,Events!$A$2:$D$319,4,FALSE()))</f>
        <v>Project Notification Terminated s.39(d)</v>
      </c>
      <c r="D9" s="22" t="s">
        <v>112</v>
      </c>
      <c r="E9" s="22"/>
      <c r="F9" s="1" t="n">
        <v>9</v>
      </c>
    </row>
    <row r="10" customFormat="false" ht="14.25" hidden="false" customHeight="false" outlineLevel="0" collapsed="false">
      <c r="A10" s="1" t="n">
        <v>9</v>
      </c>
      <c r="B10" s="11" t="n">
        <v>42</v>
      </c>
      <c r="C10" s="8" t="str">
        <f aca="false">IF((B10=""),"",VLOOKUP(B10,Events!$A$2:$D$319,4,FALSE()))</f>
        <v>Project Withdrawn</v>
      </c>
      <c r="D10" s="22" t="s">
        <v>107</v>
      </c>
      <c r="E10" s="22"/>
      <c r="F10" s="1" t="n">
        <v>10</v>
      </c>
    </row>
    <row r="11" customFormat="false" ht="14.25" hidden="false" customHeight="false" outlineLevel="0" collapsed="false">
      <c r="A11" s="1" t="n">
        <v>10</v>
      </c>
      <c r="B11" s="11" t="n">
        <v>60</v>
      </c>
      <c r="C11" s="8" t="str">
        <f aca="false">IF((B11=""),"",VLOOKUP(B11,Events!$A$2:$D$319,4,FALSE()))</f>
        <v>Project Notification Terminated s.39(d)</v>
      </c>
      <c r="D11" s="22" t="s">
        <v>112</v>
      </c>
      <c r="E11" s="22"/>
      <c r="F11" s="1" t="n">
        <v>11</v>
      </c>
    </row>
    <row r="12" customFormat="false" ht="14.25" hidden="false" customHeight="false" outlineLevel="0" collapsed="false">
      <c r="A12" s="1" t="n">
        <v>11</v>
      </c>
      <c r="B12" s="11" t="n">
        <v>63</v>
      </c>
      <c r="C12" s="8" t="str">
        <f aca="false">IF((B12=""),"",VLOOKUP(B12,Events!$A$2:$D$319,4,FALSE()))</f>
        <v>Project Withdrawn</v>
      </c>
      <c r="D12" s="22" t="s">
        <v>107</v>
      </c>
      <c r="E12" s="22"/>
      <c r="F12" s="1" t="n">
        <v>12</v>
      </c>
    </row>
    <row r="13" customFormat="false" ht="14.25" hidden="false" customHeight="false" outlineLevel="0" collapsed="false">
      <c r="A13" s="1" t="n">
        <v>12</v>
      </c>
      <c r="B13" s="11" t="n">
        <v>67</v>
      </c>
      <c r="C13" s="8" t="str">
        <f aca="false">IF((B13=""),"",VLOOKUP(B13,Events!$A$2:$D$319,4,FALSE()))</f>
        <v>Decision: Project Notification</v>
      </c>
      <c r="D13" s="2" t="s">
        <v>113</v>
      </c>
      <c r="F13" s="1" t="n">
        <v>13</v>
      </c>
    </row>
    <row r="14" customFormat="false" ht="14.25" hidden="false" customHeight="false" outlineLevel="0" collapsed="false">
      <c r="A14" s="1" t="n">
        <v>13</v>
      </c>
      <c r="B14" s="11" t="n">
        <v>67</v>
      </c>
      <c r="C14" s="8" t="str">
        <f aca="false">IF((B14=""),"",VLOOKUP(B14,Events!$A$2:$D$319,4,FALSE()))</f>
        <v>Decision: Project Notification</v>
      </c>
      <c r="D14" s="22" t="s">
        <v>114</v>
      </c>
      <c r="E14" s="22"/>
      <c r="F14" s="1" t="n">
        <v>14</v>
      </c>
    </row>
    <row r="15" customFormat="false" ht="14.25" hidden="false" customHeight="false" outlineLevel="0" collapsed="false">
      <c r="A15" s="1" t="n">
        <v>14</v>
      </c>
      <c r="B15" s="11" t="n">
        <v>67</v>
      </c>
      <c r="C15" s="8" t="str">
        <f aca="false">IF((B15=""),"",VLOOKUP(B15,Events!$A$2:$D$319,4,FALSE()))</f>
        <v>Decision: Project Notification</v>
      </c>
      <c r="D15" s="22" t="s">
        <v>115</v>
      </c>
      <c r="E15" s="22"/>
      <c r="F15" s="1" t="n">
        <v>15</v>
      </c>
    </row>
    <row r="16" customFormat="false" ht="13.8" hidden="false" customHeight="false" outlineLevel="0" collapsed="false">
      <c r="A16" s="1" t="n">
        <v>15</v>
      </c>
      <c r="B16" s="11" t="n">
        <v>11</v>
      </c>
      <c r="C16" s="8" t="str">
        <f aca="false">IF((B16=""),"",VLOOKUP(B16,Events!$A$2:$D$319,4,FALSE()))</f>
        <v>Delegation of PN Decision</v>
      </c>
      <c r="D16" s="2" t="s">
        <v>116</v>
      </c>
      <c r="F16" s="1" t="n">
        <v>7</v>
      </c>
    </row>
  </sheetData>
  <autoFilter ref="A1:F16"/>
  <dataValidations count="1">
    <dataValidation allowBlank="true" errorStyle="stop" operator="between" showDropDown="false" showErrorMessage="true" showInputMessage="true" sqref="B2:B16" type="list">
      <formula1>Events!$A$2:$A$70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F42" activeCellId="0" sqref="F42"/>
    </sheetView>
  </sheetViews>
  <sheetFormatPr defaultColWidth="8.91015625" defaultRowHeight="14.25" zeroHeight="false" outlineLevelRow="0" outlineLevelCol="0"/>
  <cols>
    <col collapsed="false" customWidth="false" hidden="false" outlineLevel="0" max="1" min="1" style="2" width="8.91"/>
    <col collapsed="false" customWidth="true" hidden="false" outlineLevel="0" max="2" min="2" style="2" width="12.72"/>
    <col collapsed="false" customWidth="true" hidden="false" outlineLevel="0" max="3" min="3" style="2" width="70.73"/>
    <col collapsed="false" customWidth="true" hidden="false" outlineLevel="0" max="4" min="4" style="2" width="30.72"/>
    <col collapsed="false" customWidth="true" hidden="false" outlineLevel="0" max="5" min="5" style="2" width="112.37"/>
    <col collapsed="false" customWidth="true" hidden="false" outlineLevel="0" max="6" min="6" style="2" width="20.72"/>
    <col collapsed="false" customWidth="true" hidden="false" outlineLevel="0" max="7" min="7" style="2" width="12.72"/>
    <col collapsed="false" customWidth="false" hidden="false" outlineLevel="0" max="1024" min="8" style="2" width="8.91"/>
  </cols>
  <sheetData>
    <row r="1" s="3" customFormat="true" ht="14.25" hidden="false" customHeight="false" outlineLevel="0" collapsed="false">
      <c r="A1" s="3" t="s">
        <v>0</v>
      </c>
      <c r="B1" s="3" t="s">
        <v>117</v>
      </c>
      <c r="C1" s="3" t="s">
        <v>103</v>
      </c>
      <c r="D1" s="3" t="s">
        <v>118</v>
      </c>
      <c r="E1" s="3" t="s">
        <v>119</v>
      </c>
      <c r="F1" s="3" t="s">
        <v>120</v>
      </c>
      <c r="G1" s="3" t="s">
        <v>8</v>
      </c>
    </row>
    <row r="2" customFormat="false" ht="14.25" hidden="false" customHeight="false" outlineLevel="0" collapsed="false">
      <c r="A2" s="1" t="n">
        <v>1</v>
      </c>
      <c r="B2" s="11" t="n">
        <v>3</v>
      </c>
      <c r="C2" s="8" t="str">
        <f aca="false">IF((B2=""),"",VLOOKUP(B2,Outcomes!$A$2:$D$15,4,FALSE()))</f>
        <v>Proponent withdraws Submission from the Project Notification process</v>
      </c>
      <c r="D2" s="2" t="s">
        <v>121</v>
      </c>
      <c r="E2" s="2" t="s">
        <v>122</v>
      </c>
      <c r="F2" s="2" t="s">
        <v>123</v>
      </c>
      <c r="G2" s="1" t="n">
        <v>1</v>
      </c>
    </row>
    <row r="3" customFormat="false" ht="14.25" hidden="false" customHeight="false" outlineLevel="0" collapsed="false">
      <c r="A3" s="1" t="n">
        <v>2</v>
      </c>
      <c r="B3" s="11" t="n">
        <v>3</v>
      </c>
      <c r="C3" s="8" t="str">
        <f aca="false">IF((B3=""),"",VLOOKUP(B3,Outcomes!$A$2:$D$15,4,FALSE()))</f>
        <v>Proponent withdraws Submission from the Project Notification process</v>
      </c>
      <c r="D3" s="2" t="s">
        <v>124</v>
      </c>
      <c r="E3" s="2" t="s">
        <v>125</v>
      </c>
      <c r="F3" s="2" t="s">
        <v>126</v>
      </c>
      <c r="G3" s="1" t="n">
        <v>2</v>
      </c>
    </row>
    <row r="4" customFormat="false" ht="14.25" hidden="false" customHeight="false" outlineLevel="0" collapsed="false">
      <c r="A4" s="1" t="n">
        <v>3</v>
      </c>
      <c r="B4" s="11" t="n">
        <v>3</v>
      </c>
      <c r="C4" s="8" t="str">
        <f aca="false">IF((B4=""),"",VLOOKUP(B4,Outcomes!$A$2:$D$15,4,FALSE()))</f>
        <v>Proponent withdraws Submission from the Project Notification process</v>
      </c>
      <c r="D4" s="2" t="s">
        <v>127</v>
      </c>
      <c r="E4" s="2" t="s">
        <v>128</v>
      </c>
      <c r="F4" s="2" t="s">
        <v>129</v>
      </c>
      <c r="G4" s="1" t="n">
        <v>3</v>
      </c>
    </row>
    <row r="5" customFormat="false" ht="14.25" hidden="false" customHeight="false" outlineLevel="0" collapsed="false">
      <c r="A5" s="1" t="n">
        <v>4</v>
      </c>
      <c r="B5" s="11" t="n">
        <v>3</v>
      </c>
      <c r="C5" s="8" t="str">
        <f aca="false">IF((B5=""),"",VLOOKUP(B5,Outcomes!$A$2:$D$15,4,FALSE()))</f>
        <v>Proponent withdraws Submission from the Project Notification process</v>
      </c>
      <c r="D5" s="2" t="s">
        <v>130</v>
      </c>
      <c r="E5" s="2" t="s">
        <v>131</v>
      </c>
      <c r="F5" s="2" t="s">
        <v>132</v>
      </c>
      <c r="G5" s="1" t="n">
        <v>4</v>
      </c>
    </row>
    <row r="6" customFormat="false" ht="14.25" hidden="false" customHeight="false" outlineLevel="0" collapsed="false">
      <c r="A6" s="1" t="n">
        <v>5</v>
      </c>
      <c r="B6" s="11" t="n">
        <v>4</v>
      </c>
      <c r="C6" s="8" t="str">
        <f aca="false">IF((B6=""),"",VLOOKUP(B6,Outcomes!$A$2:$D$15,4,FALSE()))</f>
        <v>Delete this "Intake Phase" and go directly to "Notification Review"</v>
      </c>
      <c r="D6" s="2" t="s">
        <v>133</v>
      </c>
      <c r="E6" s="2" t="s">
        <v>134</v>
      </c>
      <c r="F6" s="2" t="s">
        <v>135</v>
      </c>
      <c r="G6" s="2" t="n">
        <v>5</v>
      </c>
    </row>
    <row r="7" customFormat="false" ht="14.25" hidden="false" customHeight="false" outlineLevel="0" collapsed="false">
      <c r="A7" s="1" t="n">
        <v>6</v>
      </c>
      <c r="B7" s="11" t="n">
        <v>4</v>
      </c>
      <c r="C7" s="8" t="str">
        <f aca="false">IF((B7=""),"",VLOOKUP(B7,Outcomes!$A$2:$D$15,4,FALSE()))</f>
        <v>Delete this "Intake Phase" and go directly to "Notification Review"</v>
      </c>
      <c r="D7" s="2" t="s">
        <v>124</v>
      </c>
      <c r="E7" s="22" t="s">
        <v>125</v>
      </c>
      <c r="F7" s="2" t="s">
        <v>126</v>
      </c>
      <c r="G7" s="1" t="n">
        <v>6</v>
      </c>
    </row>
    <row r="8" customFormat="false" ht="14.25" hidden="false" customHeight="false" outlineLevel="0" collapsed="false">
      <c r="A8" s="1" t="n">
        <v>7</v>
      </c>
      <c r="B8" s="11" t="n">
        <v>4</v>
      </c>
      <c r="C8" s="8" t="str">
        <f aca="false">IF((B8=""),"",VLOOKUP(B8,Outcomes!$A$2:$D$15,4,FALSE()))</f>
        <v>Delete this "Intake Phase" and go directly to "Notification Review"</v>
      </c>
      <c r="D8" s="2" t="s">
        <v>121</v>
      </c>
      <c r="E8" s="22" t="s">
        <v>136</v>
      </c>
      <c r="F8" s="2" t="s">
        <v>137</v>
      </c>
      <c r="G8" s="1" t="n">
        <v>7</v>
      </c>
    </row>
    <row r="9" customFormat="false" ht="14.25" hidden="false" customHeight="false" outlineLevel="0" collapsed="false">
      <c r="A9" s="1" t="n">
        <v>8</v>
      </c>
      <c r="B9" s="11" t="n">
        <v>5</v>
      </c>
      <c r="C9" s="8" t="str">
        <f aca="false">IF((B9=""),"",VLOOKUP(B9,Outcomes!$A$2:$D$15,4,FALSE()))</f>
        <v>Starts the 60-Day Legislated Time Period for Project Notification</v>
      </c>
      <c r="D9" s="22" t="s">
        <v>138</v>
      </c>
      <c r="E9" s="22" t="s">
        <v>139</v>
      </c>
      <c r="F9" s="2" t="s">
        <v>140</v>
      </c>
      <c r="G9" s="1" t="n">
        <v>8</v>
      </c>
    </row>
    <row r="10" customFormat="false" ht="14.25" hidden="false" customHeight="false" outlineLevel="0" collapsed="false">
      <c r="A10" s="1" t="n">
        <v>9</v>
      </c>
      <c r="B10" s="11" t="n">
        <v>6</v>
      </c>
      <c r="C10" s="8" t="str">
        <f aca="false">IF((B10=""),"",VLOOKUP(B10,Outcomes!$A$2:$D$15,4,FALSE()))</f>
        <v>Minister to make the Project Notification Decision</v>
      </c>
      <c r="D10" s="22" t="s">
        <v>141</v>
      </c>
      <c r="E10" s="22" t="s">
        <v>142</v>
      </c>
      <c r="F10" s="2" t="s">
        <v>143</v>
      </c>
      <c r="G10" s="1" t="n">
        <v>9</v>
      </c>
    </row>
    <row r="11" customFormat="false" ht="14.25" hidden="false" customHeight="false" outlineLevel="0" collapsed="false">
      <c r="A11" s="1" t="n">
        <v>10</v>
      </c>
      <c r="B11" s="11" t="n">
        <v>7</v>
      </c>
      <c r="C11" s="8" t="str">
        <f aca="false">IF((B11=""),"",VLOOKUP(B11,Outcomes!$A$2:$D$15,4,FALSE()))</f>
        <v>CEAO is delegated to make the Project Notification Decision</v>
      </c>
      <c r="D11" s="22" t="s">
        <v>141</v>
      </c>
      <c r="E11" s="22" t="s">
        <v>144</v>
      </c>
      <c r="F11" s="2" t="s">
        <v>145</v>
      </c>
      <c r="G11" s="1" t="n">
        <v>10</v>
      </c>
    </row>
    <row r="12" customFormat="false" ht="14.25" hidden="false" customHeight="false" outlineLevel="0" collapsed="false">
      <c r="A12" s="1" t="n">
        <v>11</v>
      </c>
      <c r="B12" s="11" t="n">
        <v>8</v>
      </c>
      <c r="C12" s="8" t="str">
        <f aca="false">IF((B12=""),"",VLOOKUP(B12,Outcomes!$A$2:$D$15,4,FALSE()))</f>
        <v>Project Notification is Terminated under s.39(d) of Act</v>
      </c>
      <c r="D12" s="22" t="s">
        <v>121</v>
      </c>
      <c r="E12" s="22" t="s">
        <v>122</v>
      </c>
      <c r="F12" s="2" t="s">
        <v>123</v>
      </c>
      <c r="G12" s="1" t="n">
        <v>12</v>
      </c>
    </row>
    <row r="13" customFormat="false" ht="14.25" hidden="false" customHeight="false" outlineLevel="0" collapsed="false">
      <c r="A13" s="1" t="n">
        <v>12</v>
      </c>
      <c r="B13" s="11" t="n">
        <v>8</v>
      </c>
      <c r="C13" s="8" t="str">
        <f aca="false">IF((B13=""),"",VLOOKUP(B13,Outcomes!$A$2:$D$15,4,FALSE()))</f>
        <v>Project Notification is Terminated under s.39(d) of Act</v>
      </c>
      <c r="D13" s="2" t="s">
        <v>124</v>
      </c>
      <c r="E13" s="22" t="s">
        <v>125</v>
      </c>
      <c r="F13" s="2" t="s">
        <v>126</v>
      </c>
      <c r="G13" s="1" t="n">
        <v>13</v>
      </c>
    </row>
    <row r="14" customFormat="false" ht="14.25" hidden="false" customHeight="false" outlineLevel="0" collapsed="false">
      <c r="A14" s="1" t="n">
        <v>13</v>
      </c>
      <c r="B14" s="11" t="n">
        <v>8</v>
      </c>
      <c r="C14" s="8" t="str">
        <f aca="false">IF((B14=""),"",VLOOKUP(B14,Outcomes!$A$2:$D$15,4,FALSE()))</f>
        <v>Project Notification is Terminated under s.39(d) of Act</v>
      </c>
      <c r="D14" s="22" t="s">
        <v>127</v>
      </c>
      <c r="E14" s="22" t="s">
        <v>146</v>
      </c>
      <c r="F14" s="2" t="s">
        <v>147</v>
      </c>
      <c r="G14" s="1" t="n">
        <v>14</v>
      </c>
    </row>
    <row r="15" customFormat="false" ht="14.25" hidden="false" customHeight="false" outlineLevel="0" collapsed="false">
      <c r="A15" s="1" t="n">
        <v>14</v>
      </c>
      <c r="B15" s="11" t="n">
        <v>8</v>
      </c>
      <c r="C15" s="8" t="str">
        <f aca="false">IF((B15=""),"",VLOOKUP(B15,Outcomes!$A$2:$D$15,4,FALSE()))</f>
        <v>Project Notification is Terminated under s.39(d) of Act</v>
      </c>
      <c r="D15" s="22" t="s">
        <v>130</v>
      </c>
      <c r="E15" s="22" t="s">
        <v>131</v>
      </c>
      <c r="F15" s="2" t="s">
        <v>132</v>
      </c>
      <c r="G15" s="1" t="n">
        <v>15</v>
      </c>
    </row>
    <row r="16" customFormat="false" ht="14.25" hidden="false" customHeight="false" outlineLevel="0" collapsed="false">
      <c r="A16" s="1" t="n">
        <v>15</v>
      </c>
      <c r="B16" s="11" t="n">
        <v>9</v>
      </c>
      <c r="C16" s="8" t="str">
        <f aca="false">IF((B16=""),"",VLOOKUP(B16,Outcomes!$A$2:$D$15,4,FALSE()))</f>
        <v>Proponent withdraws Submission from the Project Notification process</v>
      </c>
      <c r="D16" s="2" t="s">
        <v>121</v>
      </c>
      <c r="E16" s="2" t="s">
        <v>122</v>
      </c>
      <c r="F16" s="2" t="s">
        <v>123</v>
      </c>
      <c r="G16" s="1" t="n">
        <v>16</v>
      </c>
    </row>
    <row r="17" customFormat="false" ht="14.25" hidden="false" customHeight="false" outlineLevel="0" collapsed="false">
      <c r="A17" s="1" t="n">
        <v>16</v>
      </c>
      <c r="B17" s="11" t="n">
        <v>9</v>
      </c>
      <c r="C17" s="8" t="str">
        <f aca="false">IF((B17=""),"",VLOOKUP(B17,Outcomes!$A$2:$D$15,4,FALSE()))</f>
        <v>Proponent withdraws Submission from the Project Notification process</v>
      </c>
      <c r="D17" s="2" t="s">
        <v>124</v>
      </c>
      <c r="E17" s="2" t="s">
        <v>125</v>
      </c>
      <c r="F17" s="2" t="s">
        <v>126</v>
      </c>
      <c r="G17" s="1" t="n">
        <v>17</v>
      </c>
    </row>
    <row r="18" customFormat="false" ht="14.25" hidden="false" customHeight="false" outlineLevel="0" collapsed="false">
      <c r="A18" s="1" t="n">
        <v>17</v>
      </c>
      <c r="B18" s="11" t="n">
        <v>9</v>
      </c>
      <c r="C18" s="8" t="str">
        <f aca="false">IF((B18=""),"",VLOOKUP(B18,Outcomes!$A$2:$D$15,4,FALSE()))</f>
        <v>Proponent withdraws Submission from the Project Notification process</v>
      </c>
      <c r="D18" s="2" t="s">
        <v>127</v>
      </c>
      <c r="E18" s="2" t="s">
        <v>128</v>
      </c>
      <c r="F18" s="2" t="s">
        <v>129</v>
      </c>
      <c r="G18" s="1" t="n">
        <v>18</v>
      </c>
    </row>
    <row r="19" customFormat="false" ht="13.8" hidden="false" customHeight="false" outlineLevel="0" collapsed="false">
      <c r="A19" s="1" t="n">
        <v>18</v>
      </c>
      <c r="B19" s="11" t="n">
        <v>9</v>
      </c>
      <c r="C19" s="8" t="str">
        <f aca="false">IF((B19=""),"",VLOOKUP(B19,Outcomes!$A$2:$D$15,4,FALSE()))</f>
        <v>Proponent withdraws Submission from the Project Notification process</v>
      </c>
      <c r="D19" s="2" t="s">
        <v>130</v>
      </c>
      <c r="E19" s="2" t="s">
        <v>131</v>
      </c>
      <c r="F19" s="2" t="s">
        <v>132</v>
      </c>
      <c r="G19" s="1" t="n">
        <v>19</v>
      </c>
    </row>
    <row r="20" customFormat="false" ht="13.8" hidden="false" customHeight="false" outlineLevel="0" collapsed="false">
      <c r="A20" s="1" t="n">
        <v>19</v>
      </c>
      <c r="B20" s="11" t="n">
        <v>10</v>
      </c>
      <c r="C20" s="8" t="str">
        <f aca="false">IF((B20=""),"",VLOOKUP(B20,Outcomes!$A$2:$D$15,4,FALSE()))</f>
        <v>Project Notification is Terminated under s.39(d) of Act</v>
      </c>
      <c r="D20" s="22" t="s">
        <v>121</v>
      </c>
      <c r="E20" s="22" t="s">
        <v>122</v>
      </c>
      <c r="F20" s="2" t="s">
        <v>123</v>
      </c>
      <c r="G20" s="1" t="n">
        <v>20</v>
      </c>
    </row>
    <row r="21" customFormat="false" ht="13.8" hidden="false" customHeight="false" outlineLevel="0" collapsed="false">
      <c r="A21" s="1" t="n">
        <v>20</v>
      </c>
      <c r="B21" s="11" t="n">
        <v>10</v>
      </c>
      <c r="C21" s="8" t="str">
        <f aca="false">IF((B21=""),"",VLOOKUP(B21,Outcomes!$A$2:$D$15,4,FALSE()))</f>
        <v>Project Notification is Terminated under s.39(d) of Act</v>
      </c>
      <c r="D21" s="2" t="s">
        <v>124</v>
      </c>
      <c r="E21" s="22" t="s">
        <v>125</v>
      </c>
      <c r="F21" s="2" t="s">
        <v>126</v>
      </c>
      <c r="G21" s="1" t="n">
        <v>21</v>
      </c>
    </row>
    <row r="22" customFormat="false" ht="13.8" hidden="false" customHeight="false" outlineLevel="0" collapsed="false">
      <c r="A22" s="1" t="n">
        <v>21</v>
      </c>
      <c r="B22" s="11" t="n">
        <v>10</v>
      </c>
      <c r="C22" s="8" t="str">
        <f aca="false">IF((B22=""),"",VLOOKUP(B22,Outcomes!$A$2:$D$15,4,FALSE()))</f>
        <v>Project Notification is Terminated under s.39(d) of Act</v>
      </c>
      <c r="D22" s="22" t="s">
        <v>127</v>
      </c>
      <c r="E22" s="22" t="s">
        <v>146</v>
      </c>
      <c r="F22" s="2" t="s">
        <v>147</v>
      </c>
      <c r="G22" s="1" t="n">
        <v>22</v>
      </c>
    </row>
    <row r="23" customFormat="false" ht="13.8" hidden="false" customHeight="false" outlineLevel="0" collapsed="false">
      <c r="A23" s="1" t="n">
        <v>22</v>
      </c>
      <c r="B23" s="11" t="n">
        <v>10</v>
      </c>
      <c r="C23" s="8" t="str">
        <f aca="false">IF((B23=""),"",VLOOKUP(B23,Outcomes!$A$2:$D$15,4,FALSE()))</f>
        <v>Project Notification is Terminated under s.39(d) of Act</v>
      </c>
      <c r="D23" s="22" t="s">
        <v>130</v>
      </c>
      <c r="E23" s="22" t="s">
        <v>131</v>
      </c>
      <c r="F23" s="2" t="s">
        <v>132</v>
      </c>
      <c r="G23" s="1" t="n">
        <v>23</v>
      </c>
    </row>
    <row r="24" customFormat="false" ht="13.8" hidden="false" customHeight="false" outlineLevel="0" collapsed="false">
      <c r="A24" s="1" t="n">
        <v>23</v>
      </c>
      <c r="B24" s="11" t="n">
        <v>11</v>
      </c>
      <c r="C24" s="8" t="str">
        <f aca="false">IF((B24=""),"",VLOOKUP(B24,Outcomes!$A$2:$D$15,4,FALSE()))</f>
        <v>Proponent withdraws Submission from the Project Notification process</v>
      </c>
      <c r="D24" s="2" t="s">
        <v>121</v>
      </c>
      <c r="E24" s="2" t="s">
        <v>122</v>
      </c>
      <c r="F24" s="2" t="s">
        <v>123</v>
      </c>
      <c r="G24" s="1" t="n">
        <v>24</v>
      </c>
    </row>
    <row r="25" customFormat="false" ht="13.8" hidden="false" customHeight="false" outlineLevel="0" collapsed="false">
      <c r="A25" s="1" t="n">
        <v>24</v>
      </c>
      <c r="B25" s="11" t="n">
        <v>11</v>
      </c>
      <c r="C25" s="8" t="str">
        <f aca="false">IF((B25=""),"",VLOOKUP(B25,Outcomes!$A$2:$D$15,4,FALSE()))</f>
        <v>Proponent withdraws Submission from the Project Notification process</v>
      </c>
      <c r="D25" s="2" t="s">
        <v>124</v>
      </c>
      <c r="E25" s="2" t="s">
        <v>125</v>
      </c>
      <c r="F25" s="2" t="s">
        <v>126</v>
      </c>
      <c r="G25" s="1" t="n">
        <v>25</v>
      </c>
    </row>
    <row r="26" customFormat="false" ht="13.8" hidden="false" customHeight="false" outlineLevel="0" collapsed="false">
      <c r="A26" s="1" t="n">
        <v>25</v>
      </c>
      <c r="B26" s="11" t="n">
        <v>11</v>
      </c>
      <c r="C26" s="8" t="str">
        <f aca="false">IF((B26=""),"",VLOOKUP(B26,Outcomes!$A$2:$D$15,4,FALSE()))</f>
        <v>Proponent withdraws Submission from the Project Notification process</v>
      </c>
      <c r="D26" s="2" t="s">
        <v>127</v>
      </c>
      <c r="E26" s="2" t="s">
        <v>128</v>
      </c>
      <c r="F26" s="2" t="s">
        <v>129</v>
      </c>
      <c r="G26" s="1" t="n">
        <v>26</v>
      </c>
    </row>
    <row r="27" customFormat="false" ht="13.8" hidden="false" customHeight="false" outlineLevel="0" collapsed="false">
      <c r="A27" s="1" t="n">
        <v>26</v>
      </c>
      <c r="B27" s="11" t="n">
        <v>11</v>
      </c>
      <c r="C27" s="8" t="str">
        <f aca="false">IF((B27=""),"",VLOOKUP(B27,Outcomes!$A$2:$D$15,4,FALSE()))</f>
        <v>Proponent withdraws Submission from the Project Notification process</v>
      </c>
      <c r="D27" s="2" t="s">
        <v>130</v>
      </c>
      <c r="E27" s="2" t="s">
        <v>131</v>
      </c>
      <c r="F27" s="2" t="s">
        <v>132</v>
      </c>
      <c r="G27" s="1" t="n">
        <v>27</v>
      </c>
    </row>
    <row r="28" customFormat="false" ht="13.8" hidden="false" customHeight="false" outlineLevel="0" collapsed="false">
      <c r="A28" s="1" t="n">
        <v>27</v>
      </c>
      <c r="B28" s="11" t="n">
        <v>12</v>
      </c>
      <c r="C28" s="8" t="str">
        <f aca="false">IF((B28=""),"",VLOOKUP(B28,Outcomes!$A$2:$D$15,4,FALSE()))</f>
        <v>No Further Review Required</v>
      </c>
      <c r="D28" s="2" t="s">
        <v>127</v>
      </c>
      <c r="E28" s="22" t="s">
        <v>148</v>
      </c>
      <c r="F28" s="2" t="s">
        <v>149</v>
      </c>
      <c r="G28" s="1" t="n">
        <v>28</v>
      </c>
    </row>
    <row r="29" customFormat="false" ht="13.8" hidden="false" customHeight="false" outlineLevel="0" collapsed="false">
      <c r="A29" s="1" t="n">
        <v>28</v>
      </c>
      <c r="B29" s="11" t="n">
        <v>12</v>
      </c>
      <c r="C29" s="8" t="str">
        <f aca="false">IF((B29=""),"",VLOOKUP(B29,Outcomes!$A$2:$D$15,4,FALSE()))</f>
        <v>No Further Review Required</v>
      </c>
      <c r="D29" s="22" t="s">
        <v>130</v>
      </c>
      <c r="E29" s="2" t="s">
        <v>131</v>
      </c>
      <c r="F29" s="2" t="s">
        <v>132</v>
      </c>
      <c r="G29" s="1" t="n">
        <v>29</v>
      </c>
    </row>
    <row r="30" customFormat="false" ht="13.8" hidden="false" customHeight="false" outlineLevel="0" collapsed="false">
      <c r="A30" s="1" t="n">
        <v>29</v>
      </c>
      <c r="B30" s="11" t="n">
        <v>13</v>
      </c>
      <c r="C30" s="8" t="str">
        <f aca="false">IF((B30=""),"",VLOOKUP(B30,Outcomes!$A$2:$D$15,4,FALSE()))</f>
        <v>A Revised Project Notification Submission is Needed</v>
      </c>
      <c r="D30" s="24" t="s">
        <v>150</v>
      </c>
      <c r="E30" s="22" t="s">
        <v>151</v>
      </c>
      <c r="F30" s="2" t="s">
        <v>152</v>
      </c>
      <c r="G30" s="1" t="n">
        <v>30</v>
      </c>
    </row>
    <row r="31" customFormat="false" ht="13.8" hidden="false" customHeight="false" outlineLevel="0" collapsed="false">
      <c r="A31" s="1" t="n">
        <v>30</v>
      </c>
      <c r="B31" s="11" t="n">
        <v>13</v>
      </c>
      <c r="C31" s="8" t="str">
        <f aca="false">IF((B31=""),"",VLOOKUP(B31,Outcomes!$A$2:$D$15,4,FALSE()))</f>
        <v>A Revised Project Notification Submission is Needed</v>
      </c>
      <c r="D31" s="2" t="s">
        <v>124</v>
      </c>
      <c r="E31" s="22" t="s">
        <v>153</v>
      </c>
      <c r="F31" s="2" t="s">
        <v>154</v>
      </c>
      <c r="G31" s="1" t="n">
        <v>31</v>
      </c>
    </row>
    <row r="32" customFormat="false" ht="13.8" hidden="false" customHeight="false" outlineLevel="0" collapsed="false">
      <c r="A32" s="1" t="n">
        <v>31</v>
      </c>
      <c r="B32" s="11" t="n">
        <v>13</v>
      </c>
      <c r="C32" s="8" t="str">
        <f aca="false">IF((B32=""),"",VLOOKUP(B32,Outcomes!$A$2:$D$15,4,FALSE()))</f>
        <v>A Revised Project Notification Submission is Needed</v>
      </c>
      <c r="D32" s="22" t="s">
        <v>133</v>
      </c>
      <c r="E32" s="22" t="s">
        <v>155</v>
      </c>
      <c r="F32" s="2" t="s">
        <v>156</v>
      </c>
      <c r="G32" s="1" t="n">
        <v>32</v>
      </c>
    </row>
    <row r="33" customFormat="false" ht="13.8" hidden="false" customHeight="false" outlineLevel="0" collapsed="false">
      <c r="A33" s="1" t="n">
        <v>32</v>
      </c>
      <c r="B33" s="11" t="n">
        <v>14</v>
      </c>
      <c r="C33" s="8" t="str">
        <f aca="false">IF((B33=""),"",VLOOKUP(B33,Outcomes!$A$2:$D$15,4,FALSE()))</f>
        <v>Project Referred to Minister for Designation (s.11)</v>
      </c>
      <c r="D33" s="2" t="s">
        <v>127</v>
      </c>
      <c r="E33" s="22" t="s">
        <v>148</v>
      </c>
      <c r="F33" s="2" t="s">
        <v>149</v>
      </c>
      <c r="G33" s="1" t="n">
        <v>33</v>
      </c>
    </row>
    <row r="34" customFormat="false" ht="13.8" hidden="false" customHeight="false" outlineLevel="0" collapsed="false">
      <c r="A34" s="1" t="n">
        <v>33</v>
      </c>
      <c r="B34" s="11" t="n">
        <v>14</v>
      </c>
      <c r="C34" s="8" t="str">
        <f aca="false">IF((B34=""),"",VLOOKUP(B34,Outcomes!$A$2:$D$15,4,FALSE()))</f>
        <v>Project Referred to Minister for Designation (s.11)</v>
      </c>
      <c r="D34" s="22" t="s">
        <v>157</v>
      </c>
      <c r="E34" s="22" t="s">
        <v>158</v>
      </c>
      <c r="F34" s="2" t="s">
        <v>159</v>
      </c>
      <c r="G34" s="1" t="n">
        <v>34</v>
      </c>
    </row>
    <row r="35" customFormat="false" ht="13.8" hidden="false" customHeight="false" outlineLevel="0" collapsed="false">
      <c r="A35" s="1" t="n">
        <v>34</v>
      </c>
      <c r="B35" s="11" t="n">
        <v>15</v>
      </c>
      <c r="C35" s="8" t="str">
        <f aca="false">IF((B35=""),"",VLOOKUP(B35,Outcomes!$A$2:$D$25,4,FALSE()))</f>
        <v>Deputy CEAO is delegated to make the Project Notification Decision</v>
      </c>
      <c r="D35" s="22" t="s">
        <v>141</v>
      </c>
      <c r="E35" s="2" t="s">
        <v>160</v>
      </c>
      <c r="F35" s="2" t="s">
        <v>161</v>
      </c>
      <c r="G35" s="1" t="n">
        <v>11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dataValidations count="2">
    <dataValidation allowBlank="true" errorStyle="stop" operator="between" showDropDown="false" showErrorMessage="true" showInputMessage="true" sqref="B2:B33" type="list">
      <formula1>Outcomes!$A$2:$A$15</formula1>
      <formula2>0</formula2>
    </dataValidation>
    <dataValidation allowBlank="true" errorStyle="stop" operator="between" showDropDown="false" showErrorMessage="true" showInputMessage="true" sqref="B34:B35" type="list">
      <formula1>Outcomes!$A$2:$A$16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2CC"/>
    <pageSetUpPr fitToPage="false"/>
  </sheetPr>
  <dimension ref="A1:BG3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1015625" defaultRowHeight="14.25" zeroHeight="false" outlineLevelRow="0" outlineLevelCol="0"/>
  <cols>
    <col collapsed="false" customWidth="true" hidden="false" outlineLevel="0" max="1" min="1" style="25" width="3.73"/>
    <col collapsed="false" customWidth="true" hidden="false" outlineLevel="0" max="2" min="2" style="25" width="24.72"/>
    <col collapsed="false" customWidth="true" hidden="false" outlineLevel="0" max="3" min="3" style="25" width="3.73"/>
    <col collapsed="false" customWidth="true" hidden="false" outlineLevel="0" max="4" min="4" style="25" width="14.72"/>
    <col collapsed="false" customWidth="true" hidden="false" outlineLevel="0" max="5" min="5" style="25" width="3.73"/>
    <col collapsed="false" customWidth="true" hidden="false" outlineLevel="0" max="6" min="6" style="25" width="12.72"/>
    <col collapsed="false" customWidth="true" hidden="false" outlineLevel="0" max="7" min="7" style="25" width="3.73"/>
    <col collapsed="false" customWidth="true" hidden="false" outlineLevel="0" max="8" min="8" style="25" width="10.72"/>
    <col collapsed="false" customWidth="true" hidden="false" outlineLevel="0" max="9" min="9" style="25" width="24.72"/>
    <col collapsed="false" customWidth="true" hidden="false" outlineLevel="0" max="10" min="10" style="25" width="3.73"/>
    <col collapsed="false" customWidth="true" hidden="false" outlineLevel="0" max="11" min="11" style="25" width="16.72"/>
    <col collapsed="false" customWidth="true" hidden="false" outlineLevel="0" max="12" min="12" style="25" width="3.73"/>
    <col collapsed="false" customWidth="true" hidden="false" outlineLevel="0" max="13" min="13" style="25" width="14.72"/>
    <col collapsed="false" customWidth="true" hidden="false" outlineLevel="0" max="14" min="14" style="25" width="3.73"/>
    <col collapsed="false" customWidth="true" hidden="false" outlineLevel="0" max="15" min="15" style="25" width="30.72"/>
    <col collapsed="false" customWidth="true" hidden="false" outlineLevel="0" max="16" min="16" style="25" width="3.73"/>
    <col collapsed="false" customWidth="true" hidden="false" outlineLevel="0" max="17" min="17" style="25" width="14.72"/>
    <col collapsed="false" customWidth="true" hidden="false" outlineLevel="0" max="18" min="18" style="25" width="3.73"/>
    <col collapsed="false" customWidth="true" hidden="false" outlineLevel="0" max="19" min="19" style="25" width="14.72"/>
    <col collapsed="false" customWidth="true" hidden="false" outlineLevel="0" max="20" min="20" style="25" width="3.73"/>
    <col collapsed="false" customWidth="true" hidden="false" outlineLevel="0" max="21" min="21" style="25" width="22.28"/>
    <col collapsed="false" customWidth="true" hidden="false" outlineLevel="0" max="58" min="22" style="25" width="3.73"/>
    <col collapsed="false" customWidth="false" hidden="false" outlineLevel="0" max="59" min="59" style="25" width="8.91"/>
    <col collapsed="false" customWidth="false" hidden="false" outlineLevel="0" max="1024" min="60" style="2" width="8.91"/>
  </cols>
  <sheetData>
    <row r="1" s="25" customFormat="true" ht="14.25" hidden="false" customHeight="false" outlineLevel="0" collapsed="false"/>
    <row r="2" s="3" customFormat="true" ht="14.25" hidden="false" customHeight="false" outlineLevel="0" collapsed="false">
      <c r="A2" s="26"/>
      <c r="B2" s="3" t="s">
        <v>2</v>
      </c>
      <c r="C2" s="26"/>
      <c r="D2" s="3" t="s">
        <v>162</v>
      </c>
      <c r="E2" s="26"/>
      <c r="F2" s="3" t="s">
        <v>5</v>
      </c>
      <c r="G2" s="26"/>
      <c r="H2" s="26"/>
      <c r="I2" s="3" t="s">
        <v>163</v>
      </c>
      <c r="J2" s="26"/>
      <c r="K2" s="3" t="s">
        <v>164</v>
      </c>
      <c r="L2" s="26"/>
      <c r="M2" s="3" t="s">
        <v>7</v>
      </c>
      <c r="N2" s="26"/>
      <c r="O2" s="3" t="s">
        <v>118</v>
      </c>
      <c r="P2" s="26"/>
      <c r="Q2" s="3" t="s">
        <v>165</v>
      </c>
      <c r="R2" s="26"/>
      <c r="S2" s="3" t="s">
        <v>166</v>
      </c>
      <c r="T2" s="26"/>
      <c r="U2" s="3" t="s">
        <v>167</v>
      </c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</row>
    <row r="3" customFormat="false" ht="14.25" hidden="false" customHeight="false" outlineLevel="0" collapsed="false">
      <c r="B3" s="2" t="s">
        <v>10</v>
      </c>
      <c r="D3" s="2" t="s">
        <v>11</v>
      </c>
      <c r="F3" s="27" t="b">
        <f aca="false">TRUE()</f>
        <v>1</v>
      </c>
      <c r="H3" s="28" t="s">
        <v>27</v>
      </c>
      <c r="I3" s="2" t="s">
        <v>96</v>
      </c>
      <c r="K3" s="2" t="s">
        <v>27</v>
      </c>
      <c r="M3" s="2" t="s">
        <v>29</v>
      </c>
      <c r="O3" s="2" t="s">
        <v>168</v>
      </c>
      <c r="Q3" s="2" t="s">
        <v>28</v>
      </c>
      <c r="S3" s="2" t="b">
        <f aca="false">TRUE()</f>
        <v>1</v>
      </c>
      <c r="U3" s="22" t="s">
        <v>169</v>
      </c>
    </row>
    <row r="4" customFormat="false" ht="14.25" hidden="false" customHeight="false" outlineLevel="0" collapsed="false">
      <c r="B4" s="2" t="s">
        <v>170</v>
      </c>
      <c r="D4" s="2" t="s">
        <v>171</v>
      </c>
      <c r="F4" s="27" t="b">
        <f aca="false">FALSE()</f>
        <v>0</v>
      </c>
      <c r="H4" s="28" t="s">
        <v>27</v>
      </c>
      <c r="I4" s="2" t="s">
        <v>31</v>
      </c>
      <c r="K4" s="2" t="s">
        <v>54</v>
      </c>
      <c r="M4" s="22" t="s">
        <v>33</v>
      </c>
      <c r="O4" s="2" t="s">
        <v>172</v>
      </c>
      <c r="Q4" s="2" t="s">
        <v>32</v>
      </c>
      <c r="S4" s="2" t="b">
        <f aca="false">FALSE()</f>
        <v>0</v>
      </c>
      <c r="U4" s="22" t="s">
        <v>150</v>
      </c>
    </row>
    <row r="5" customFormat="false" ht="14.25" hidden="false" customHeight="false" outlineLevel="0" collapsed="false">
      <c r="B5" s="2" t="s">
        <v>173</v>
      </c>
      <c r="D5" s="2" t="s">
        <v>174</v>
      </c>
      <c r="H5" s="28" t="s">
        <v>27</v>
      </c>
      <c r="I5" s="2" t="s">
        <v>175</v>
      </c>
      <c r="K5" s="2" t="s">
        <v>40</v>
      </c>
      <c r="M5" s="2" t="s">
        <v>36</v>
      </c>
      <c r="O5" s="2" t="s">
        <v>176</v>
      </c>
      <c r="Q5" s="2" t="s">
        <v>46</v>
      </c>
      <c r="U5" s="22" t="s">
        <v>177</v>
      </c>
    </row>
    <row r="6" customFormat="false" ht="14.25" hidden="false" customHeight="false" outlineLevel="0" collapsed="false">
      <c r="B6" s="2" t="s">
        <v>178</v>
      </c>
      <c r="H6" s="28" t="s">
        <v>27</v>
      </c>
      <c r="I6" s="2" t="s">
        <v>179</v>
      </c>
      <c r="K6" s="2" t="s">
        <v>180</v>
      </c>
      <c r="M6" s="2" t="s">
        <v>181</v>
      </c>
      <c r="O6" s="2" t="s">
        <v>182</v>
      </c>
      <c r="U6" s="22" t="s">
        <v>157</v>
      </c>
    </row>
    <row r="7" customFormat="false" ht="14.25" hidden="false" customHeight="false" outlineLevel="0" collapsed="false">
      <c r="B7" s="2" t="s">
        <v>183</v>
      </c>
      <c r="H7" s="28" t="s">
        <v>27</v>
      </c>
      <c r="I7" s="2" t="s">
        <v>93</v>
      </c>
      <c r="K7" s="2" t="s">
        <v>51</v>
      </c>
      <c r="O7" s="2" t="s">
        <v>184</v>
      </c>
      <c r="U7" s="22" t="s">
        <v>138</v>
      </c>
    </row>
    <row r="8" customFormat="false" ht="14.25" hidden="false" customHeight="false" outlineLevel="0" collapsed="false">
      <c r="B8" s="2" t="s">
        <v>185</v>
      </c>
      <c r="H8" s="28" t="s">
        <v>27</v>
      </c>
      <c r="I8" s="2" t="s">
        <v>61</v>
      </c>
      <c r="K8" s="2" t="s">
        <v>69</v>
      </c>
      <c r="O8" s="2" t="s">
        <v>186</v>
      </c>
      <c r="U8" s="22" t="s">
        <v>133</v>
      </c>
    </row>
    <row r="9" customFormat="false" ht="14.25" hidden="false" customHeight="false" outlineLevel="0" collapsed="false">
      <c r="B9" s="2" t="s">
        <v>187</v>
      </c>
      <c r="H9" s="28" t="s">
        <v>27</v>
      </c>
      <c r="I9" s="2" t="s">
        <v>188</v>
      </c>
      <c r="K9" s="2" t="s">
        <v>78</v>
      </c>
      <c r="O9" s="2" t="s">
        <v>189</v>
      </c>
      <c r="U9" s="22" t="s">
        <v>190</v>
      </c>
    </row>
    <row r="10" customFormat="false" ht="14.25" hidden="false" customHeight="false" outlineLevel="0" collapsed="false">
      <c r="B10" s="2" t="s">
        <v>191</v>
      </c>
      <c r="H10" s="28" t="s">
        <v>27</v>
      </c>
      <c r="I10" s="2" t="s">
        <v>35</v>
      </c>
      <c r="O10" s="2" t="s">
        <v>192</v>
      </c>
      <c r="U10" s="22" t="s">
        <v>193</v>
      </c>
    </row>
    <row r="11" customFormat="false" ht="14.25" hidden="false" customHeight="false" outlineLevel="0" collapsed="false">
      <c r="B11" s="2" t="s">
        <v>194</v>
      </c>
      <c r="H11" s="28" t="s">
        <v>27</v>
      </c>
      <c r="I11" s="2" t="s">
        <v>44</v>
      </c>
      <c r="O11" s="29"/>
      <c r="U11" s="22" t="s">
        <v>195</v>
      </c>
    </row>
    <row r="12" customFormat="false" ht="14.25" hidden="false" customHeight="false" outlineLevel="0" collapsed="false">
      <c r="B12" s="2" t="s">
        <v>196</v>
      </c>
      <c r="H12" s="28" t="s">
        <v>27</v>
      </c>
      <c r="I12" s="2" t="s">
        <v>26</v>
      </c>
      <c r="O12" s="29"/>
      <c r="U12" s="22" t="s">
        <v>197</v>
      </c>
    </row>
    <row r="13" customFormat="false" ht="14.25" hidden="false" customHeight="false" outlineLevel="0" collapsed="false">
      <c r="B13" s="2" t="s">
        <v>198</v>
      </c>
      <c r="H13" s="28" t="s">
        <v>69</v>
      </c>
      <c r="I13" s="2" t="s">
        <v>73</v>
      </c>
      <c r="O13" s="29"/>
      <c r="U13" s="22" t="s">
        <v>130</v>
      </c>
    </row>
    <row r="14" customFormat="false" ht="14.25" hidden="false" customHeight="false" outlineLevel="0" collapsed="false">
      <c r="B14" s="2" t="s">
        <v>199</v>
      </c>
      <c r="H14" s="28" t="s">
        <v>69</v>
      </c>
      <c r="I14" s="2" t="s">
        <v>68</v>
      </c>
      <c r="O14" s="29"/>
      <c r="U14" s="22" t="s">
        <v>141</v>
      </c>
    </row>
    <row r="15" customFormat="false" ht="14.25" hidden="false" customHeight="false" outlineLevel="0" collapsed="false">
      <c r="B15" s="2" t="s">
        <v>200</v>
      </c>
      <c r="H15" s="28" t="s">
        <v>78</v>
      </c>
      <c r="I15" s="2" t="s">
        <v>77</v>
      </c>
      <c r="M15" s="29"/>
      <c r="O15" s="29"/>
      <c r="U15" s="22" t="s">
        <v>127</v>
      </c>
    </row>
    <row r="16" customFormat="false" ht="14.25" hidden="false" customHeight="false" outlineLevel="0" collapsed="false">
      <c r="B16" s="2" t="s">
        <v>44</v>
      </c>
      <c r="H16" s="28" t="s">
        <v>78</v>
      </c>
      <c r="I16" s="2" t="s">
        <v>82</v>
      </c>
      <c r="M16" s="29"/>
      <c r="U16" s="29"/>
    </row>
    <row r="17" customFormat="false" ht="14.25" hidden="false" customHeight="false" outlineLevel="0" collapsed="false">
      <c r="H17" s="28" t="s">
        <v>40</v>
      </c>
      <c r="I17" s="2" t="s">
        <v>201</v>
      </c>
      <c r="M17" s="29"/>
      <c r="U17" s="29"/>
    </row>
    <row r="18" customFormat="false" ht="14.25" hidden="false" customHeight="false" outlineLevel="0" collapsed="false">
      <c r="H18" s="28" t="s">
        <v>40</v>
      </c>
      <c r="I18" s="2" t="s">
        <v>49</v>
      </c>
      <c r="M18" s="29"/>
      <c r="U18" s="29"/>
    </row>
    <row r="19" customFormat="false" ht="14.25" hidden="false" customHeight="false" outlineLevel="0" collapsed="false">
      <c r="H19" s="28" t="s">
        <v>40</v>
      </c>
      <c r="I19" s="2" t="s">
        <v>86</v>
      </c>
      <c r="M19" s="29"/>
      <c r="U19" s="29"/>
    </row>
    <row r="20" customFormat="false" ht="14.25" hidden="false" customHeight="false" outlineLevel="0" collapsed="false">
      <c r="H20" s="28" t="s">
        <v>40</v>
      </c>
      <c r="I20" s="2" t="s">
        <v>202</v>
      </c>
      <c r="M20" s="29"/>
      <c r="U20" s="29"/>
    </row>
    <row r="21" customFormat="false" ht="14.25" hidden="false" customHeight="false" outlineLevel="0" collapsed="false">
      <c r="H21" s="28" t="s">
        <v>40</v>
      </c>
      <c r="I21" s="2" t="s">
        <v>42</v>
      </c>
      <c r="M21" s="29"/>
      <c r="U21" s="29"/>
    </row>
    <row r="22" customFormat="false" ht="14.25" hidden="false" customHeight="false" outlineLevel="0" collapsed="false">
      <c r="H22" s="28" t="s">
        <v>40</v>
      </c>
      <c r="I22" s="2" t="s">
        <v>39</v>
      </c>
      <c r="M22" s="29"/>
      <c r="U22" s="29"/>
    </row>
    <row r="23" customFormat="false" ht="14.25" hidden="false" customHeight="false" outlineLevel="0" collapsed="false">
      <c r="H23" s="28" t="s">
        <v>40</v>
      </c>
      <c r="I23" s="2" t="s">
        <v>203</v>
      </c>
      <c r="M23" s="29"/>
      <c r="U23" s="29"/>
    </row>
    <row r="24" customFormat="false" ht="14.25" hidden="false" customHeight="false" outlineLevel="0" collapsed="false">
      <c r="H24" s="28" t="s">
        <v>40</v>
      </c>
      <c r="I24" s="2" t="s">
        <v>204</v>
      </c>
      <c r="M24" s="29"/>
      <c r="U24" s="29"/>
    </row>
    <row r="25" customFormat="false" ht="14.25" hidden="false" customHeight="false" outlineLevel="0" collapsed="false">
      <c r="H25" s="28" t="s">
        <v>40</v>
      </c>
      <c r="I25" s="2" t="s">
        <v>44</v>
      </c>
      <c r="M25" s="29"/>
      <c r="U25" s="29"/>
    </row>
    <row r="26" customFormat="false" ht="14.25" hidden="false" customHeight="false" outlineLevel="0" collapsed="false">
      <c r="H26" s="28" t="s">
        <v>51</v>
      </c>
      <c r="I26" s="2" t="s">
        <v>50</v>
      </c>
      <c r="M26" s="29"/>
      <c r="U26" s="29"/>
    </row>
    <row r="27" customFormat="false" ht="14.25" hidden="false" customHeight="false" outlineLevel="0" collapsed="false">
      <c r="H27" s="28" t="s">
        <v>51</v>
      </c>
      <c r="I27" s="2" t="s">
        <v>65</v>
      </c>
      <c r="M27" s="29"/>
      <c r="U27" s="29"/>
    </row>
    <row r="28" customFormat="false" ht="14.25" hidden="false" customHeight="false" outlineLevel="0" collapsed="false">
      <c r="H28" s="28" t="s">
        <v>51</v>
      </c>
      <c r="I28" s="2" t="s">
        <v>66</v>
      </c>
      <c r="M28" s="29"/>
      <c r="U28" s="29"/>
    </row>
    <row r="29" customFormat="false" ht="14.25" hidden="false" customHeight="false" outlineLevel="0" collapsed="false">
      <c r="H29" s="28" t="s">
        <v>51</v>
      </c>
      <c r="I29" s="2" t="s">
        <v>44</v>
      </c>
      <c r="M29" s="29"/>
      <c r="U29" s="29"/>
    </row>
    <row r="30" customFormat="false" ht="14.25" hidden="false" customHeight="false" outlineLevel="0" collapsed="false">
      <c r="H30" s="28" t="s">
        <v>54</v>
      </c>
      <c r="I30" s="2" t="s">
        <v>53</v>
      </c>
      <c r="M30" s="29"/>
      <c r="U30" s="29"/>
    </row>
    <row r="31" customFormat="false" ht="14.25" hidden="false" customHeight="false" outlineLevel="0" collapsed="false">
      <c r="H31" s="28" t="s">
        <v>54</v>
      </c>
      <c r="I31" s="2" t="s">
        <v>56</v>
      </c>
      <c r="M31" s="29"/>
      <c r="U31" s="29"/>
    </row>
    <row r="32" customFormat="false" ht="14.25" hidden="false" customHeight="false" outlineLevel="0" collapsed="false">
      <c r="H32" s="28" t="s">
        <v>54</v>
      </c>
      <c r="I32" s="2" t="s">
        <v>205</v>
      </c>
      <c r="M32" s="29"/>
      <c r="U32" s="29"/>
    </row>
    <row r="33" customFormat="false" ht="14.25" hidden="false" customHeight="false" outlineLevel="0" collapsed="false">
      <c r="H33" s="28" t="s">
        <v>54</v>
      </c>
      <c r="I33" s="2" t="s">
        <v>206</v>
      </c>
      <c r="M33" s="29"/>
      <c r="U33" s="29"/>
    </row>
    <row r="34" customFormat="false" ht="14.25" hidden="false" customHeight="false" outlineLevel="0" collapsed="false">
      <c r="H34" s="28" t="s">
        <v>54</v>
      </c>
      <c r="I34" s="2" t="s">
        <v>44</v>
      </c>
      <c r="M34" s="29"/>
      <c r="U34" s="29"/>
    </row>
    <row r="35" customFormat="false" ht="14.25" hidden="false" customHeight="false" outlineLevel="0" collapsed="false">
      <c r="H35" s="28" t="s">
        <v>180</v>
      </c>
      <c r="I35" s="2" t="s">
        <v>207</v>
      </c>
      <c r="M35" s="29"/>
      <c r="U35" s="29"/>
    </row>
    <row r="36" customFormat="false" ht="14.25" hidden="false" customHeight="false" outlineLevel="0" collapsed="false">
      <c r="H36" s="28" t="s">
        <v>180</v>
      </c>
      <c r="I36" s="2" t="s">
        <v>208</v>
      </c>
      <c r="M36" s="29"/>
      <c r="U36" s="29"/>
    </row>
    <row r="37" customFormat="false" ht="14.25" hidden="false" customHeight="false" outlineLevel="0" collapsed="false">
      <c r="H37" s="28" t="s">
        <v>180</v>
      </c>
      <c r="I37" s="2" t="s">
        <v>209</v>
      </c>
      <c r="M37" s="29"/>
      <c r="U37" s="29"/>
    </row>
    <row r="38" customFormat="false" ht="14.25" hidden="false" customHeight="false" outlineLevel="0" collapsed="false">
      <c r="H38" s="28" t="s">
        <v>180</v>
      </c>
      <c r="I38" s="2" t="s">
        <v>210</v>
      </c>
      <c r="M38" s="29"/>
      <c r="U38" s="29"/>
    </row>
    <row r="39" customFormat="false" ht="14.25" hidden="false" customHeight="false" outlineLevel="0" collapsed="false">
      <c r="H39" s="28" t="s">
        <v>180</v>
      </c>
      <c r="I39" s="2" t="s">
        <v>44</v>
      </c>
      <c r="M39" s="29"/>
      <c r="U39" s="29"/>
    </row>
    <row r="40" customFormat="false" ht="14.25" hidden="false" customHeight="false" outlineLevel="0" collapsed="false">
      <c r="M40" s="29"/>
      <c r="U40" s="29"/>
    </row>
    <row r="41" customFormat="false" ht="14.25" hidden="false" customHeight="false" outlineLevel="0" collapsed="false">
      <c r="M41" s="29"/>
      <c r="U41" s="29"/>
    </row>
    <row r="42" customFormat="false" ht="14.25" hidden="false" customHeight="false" outlineLevel="0" collapsed="false">
      <c r="M42" s="29"/>
      <c r="U42" s="29"/>
    </row>
    <row r="43" customFormat="false" ht="14.25" hidden="false" customHeight="false" outlineLevel="0" collapsed="false">
      <c r="M43" s="29"/>
      <c r="U43" s="29"/>
    </row>
    <row r="44" customFormat="false" ht="14.25" hidden="false" customHeight="false" outlineLevel="0" collapsed="false">
      <c r="M44" s="29"/>
      <c r="U44" s="29"/>
    </row>
    <row r="45" customFormat="false" ht="14.25" hidden="false" customHeight="false" outlineLevel="0" collapsed="false">
      <c r="M45" s="29"/>
      <c r="U45" s="29"/>
    </row>
    <row r="46" customFormat="false" ht="14.25" hidden="false" customHeight="false" outlineLevel="0" collapsed="false">
      <c r="M46" s="29"/>
      <c r="U46" s="29"/>
    </row>
    <row r="47" customFormat="false" ht="14.25" hidden="false" customHeight="false" outlineLevel="0" collapsed="false">
      <c r="M47" s="29"/>
      <c r="U47" s="29"/>
    </row>
    <row r="48" customFormat="false" ht="14.25" hidden="false" customHeight="false" outlineLevel="0" collapsed="false">
      <c r="M48" s="29"/>
      <c r="U48" s="29"/>
    </row>
    <row r="49" customFormat="false" ht="14.25" hidden="false" customHeight="false" outlineLevel="0" collapsed="false">
      <c r="M49" s="29"/>
      <c r="U49" s="29"/>
    </row>
    <row r="50" customFormat="false" ht="14.25" hidden="false" customHeight="false" outlineLevel="0" collapsed="false">
      <c r="M50" s="29"/>
      <c r="U50" s="29"/>
    </row>
    <row r="51" customFormat="false" ht="14.25" hidden="false" customHeight="false" outlineLevel="0" collapsed="false">
      <c r="M51" s="29"/>
      <c r="U51" s="29"/>
    </row>
    <row r="52" customFormat="false" ht="14.25" hidden="false" customHeight="false" outlineLevel="0" collapsed="false">
      <c r="M52" s="29"/>
      <c r="U52" s="29"/>
    </row>
    <row r="53" customFormat="false" ht="14.25" hidden="false" customHeight="false" outlineLevel="0" collapsed="false">
      <c r="M53" s="29"/>
      <c r="U53" s="29"/>
    </row>
    <row r="54" customFormat="false" ht="14.25" hidden="false" customHeight="false" outlineLevel="0" collapsed="false">
      <c r="M54" s="29"/>
      <c r="U54" s="29"/>
    </row>
    <row r="55" customFormat="false" ht="14.25" hidden="false" customHeight="false" outlineLevel="0" collapsed="false">
      <c r="M55" s="29"/>
      <c r="U55" s="29"/>
    </row>
    <row r="56" customFormat="false" ht="14.25" hidden="false" customHeight="false" outlineLevel="0" collapsed="false">
      <c r="M56" s="29"/>
      <c r="U56" s="29"/>
    </row>
    <row r="57" customFormat="false" ht="14.25" hidden="false" customHeight="false" outlineLevel="0" collapsed="false">
      <c r="M57" s="29"/>
      <c r="U57" s="29"/>
    </row>
    <row r="58" customFormat="false" ht="14.25" hidden="false" customHeight="false" outlineLevel="0" collapsed="false">
      <c r="M58" s="29"/>
      <c r="U58" s="29"/>
    </row>
    <row r="59" customFormat="false" ht="14.25" hidden="false" customHeight="false" outlineLevel="0" collapsed="false">
      <c r="M59" s="29"/>
      <c r="U59" s="29"/>
    </row>
    <row r="60" customFormat="false" ht="14.25" hidden="false" customHeight="false" outlineLevel="0" collapsed="false">
      <c r="M60" s="29"/>
      <c r="U60" s="29"/>
    </row>
    <row r="61" customFormat="false" ht="14.25" hidden="false" customHeight="false" outlineLevel="0" collapsed="false">
      <c r="M61" s="29"/>
      <c r="U61" s="29"/>
    </row>
    <row r="62" customFormat="false" ht="14.25" hidden="false" customHeight="false" outlineLevel="0" collapsed="false">
      <c r="M62" s="29"/>
      <c r="U62" s="29"/>
    </row>
    <row r="63" customFormat="false" ht="14.25" hidden="false" customHeight="false" outlineLevel="0" collapsed="false">
      <c r="M63" s="29"/>
      <c r="U63" s="29"/>
    </row>
    <row r="64" customFormat="false" ht="14.25" hidden="false" customHeight="false" outlineLevel="0" collapsed="false">
      <c r="M64" s="29"/>
      <c r="U64" s="29"/>
    </row>
    <row r="65" customFormat="false" ht="14.25" hidden="false" customHeight="false" outlineLevel="0" collapsed="false">
      <c r="M65" s="29"/>
      <c r="U65" s="29"/>
    </row>
    <row r="66" customFormat="false" ht="14.25" hidden="false" customHeight="false" outlineLevel="0" collapsed="false">
      <c r="M66" s="29"/>
      <c r="U66" s="29"/>
    </row>
    <row r="67" customFormat="false" ht="14.25" hidden="false" customHeight="false" outlineLevel="0" collapsed="false">
      <c r="M67" s="29"/>
      <c r="U67" s="29"/>
    </row>
    <row r="68" customFormat="false" ht="14.25" hidden="false" customHeight="false" outlineLevel="0" collapsed="false">
      <c r="M68" s="29"/>
      <c r="U68" s="29"/>
    </row>
    <row r="69" customFormat="false" ht="14.25" hidden="false" customHeight="false" outlineLevel="0" collapsed="false">
      <c r="M69" s="29"/>
      <c r="U69" s="29"/>
    </row>
    <row r="70" customFormat="false" ht="14.25" hidden="false" customHeight="false" outlineLevel="0" collapsed="false">
      <c r="M70" s="29"/>
      <c r="U70" s="29"/>
    </row>
    <row r="71" customFormat="false" ht="14.25" hidden="false" customHeight="false" outlineLevel="0" collapsed="false">
      <c r="M71" s="29"/>
      <c r="U71" s="29"/>
    </row>
    <row r="72" customFormat="false" ht="14.25" hidden="false" customHeight="false" outlineLevel="0" collapsed="false">
      <c r="M72" s="29"/>
      <c r="U72" s="29"/>
    </row>
    <row r="73" customFormat="false" ht="14.25" hidden="false" customHeight="false" outlineLevel="0" collapsed="false">
      <c r="M73" s="29"/>
      <c r="U73" s="29"/>
    </row>
    <row r="74" customFormat="false" ht="14.25" hidden="false" customHeight="false" outlineLevel="0" collapsed="false">
      <c r="M74" s="29"/>
      <c r="U74" s="29"/>
    </row>
    <row r="75" customFormat="false" ht="14.25" hidden="false" customHeight="false" outlineLevel="0" collapsed="false">
      <c r="M75" s="29"/>
      <c r="U75" s="29"/>
    </row>
    <row r="76" customFormat="false" ht="14.25" hidden="false" customHeight="false" outlineLevel="0" collapsed="false">
      <c r="M76" s="29"/>
      <c r="U76" s="29"/>
    </row>
    <row r="77" customFormat="false" ht="14.25" hidden="false" customHeight="false" outlineLevel="0" collapsed="false">
      <c r="M77" s="29"/>
      <c r="U77" s="29"/>
    </row>
    <row r="78" customFormat="false" ht="14.25" hidden="false" customHeight="false" outlineLevel="0" collapsed="false">
      <c r="M78" s="29"/>
      <c r="U78" s="29"/>
    </row>
    <row r="79" customFormat="false" ht="14.25" hidden="false" customHeight="false" outlineLevel="0" collapsed="false">
      <c r="M79" s="29"/>
      <c r="U79" s="29"/>
    </row>
    <row r="80" customFormat="false" ht="14.25" hidden="false" customHeight="false" outlineLevel="0" collapsed="false">
      <c r="M80" s="29"/>
      <c r="U80" s="29"/>
    </row>
    <row r="81" customFormat="false" ht="14.25" hidden="false" customHeight="false" outlineLevel="0" collapsed="false">
      <c r="M81" s="29"/>
      <c r="U81" s="29"/>
    </row>
    <row r="82" customFormat="false" ht="14.25" hidden="false" customHeight="false" outlineLevel="0" collapsed="false">
      <c r="M82" s="29"/>
      <c r="U82" s="29"/>
    </row>
    <row r="83" customFormat="false" ht="14.25" hidden="false" customHeight="false" outlineLevel="0" collapsed="false">
      <c r="M83" s="29"/>
      <c r="U83" s="29"/>
    </row>
    <row r="84" customFormat="false" ht="14.25" hidden="false" customHeight="false" outlineLevel="0" collapsed="false">
      <c r="M84" s="29"/>
      <c r="U84" s="29"/>
    </row>
    <row r="85" customFormat="false" ht="14.25" hidden="false" customHeight="false" outlineLevel="0" collapsed="false">
      <c r="M85" s="29"/>
      <c r="U85" s="29"/>
    </row>
    <row r="86" customFormat="false" ht="14.25" hidden="false" customHeight="false" outlineLevel="0" collapsed="false">
      <c r="M86" s="29"/>
      <c r="U86" s="29"/>
    </row>
    <row r="87" customFormat="false" ht="14.25" hidden="false" customHeight="false" outlineLevel="0" collapsed="false">
      <c r="M87" s="29"/>
      <c r="U87" s="29"/>
    </row>
    <row r="88" customFormat="false" ht="14.25" hidden="false" customHeight="false" outlineLevel="0" collapsed="false">
      <c r="M88" s="29"/>
      <c r="U88" s="29"/>
    </row>
    <row r="89" customFormat="false" ht="14.25" hidden="false" customHeight="false" outlineLevel="0" collapsed="false">
      <c r="M89" s="29"/>
      <c r="U89" s="29"/>
    </row>
    <row r="90" customFormat="false" ht="14.25" hidden="false" customHeight="false" outlineLevel="0" collapsed="false">
      <c r="M90" s="29"/>
      <c r="U90" s="29"/>
    </row>
    <row r="91" customFormat="false" ht="14.25" hidden="false" customHeight="false" outlineLevel="0" collapsed="false">
      <c r="M91" s="29"/>
      <c r="U91" s="29"/>
    </row>
    <row r="92" customFormat="false" ht="14.25" hidden="false" customHeight="false" outlineLevel="0" collapsed="false">
      <c r="M92" s="29"/>
      <c r="U92" s="29"/>
    </row>
    <row r="93" customFormat="false" ht="14.25" hidden="false" customHeight="false" outlineLevel="0" collapsed="false">
      <c r="M93" s="29"/>
      <c r="U93" s="29"/>
    </row>
    <row r="94" customFormat="false" ht="14.25" hidden="false" customHeight="false" outlineLevel="0" collapsed="false">
      <c r="M94" s="29"/>
      <c r="U94" s="29"/>
    </row>
    <row r="95" customFormat="false" ht="14.25" hidden="false" customHeight="false" outlineLevel="0" collapsed="false">
      <c r="M95" s="29"/>
      <c r="U95" s="29"/>
    </row>
    <row r="96" customFormat="false" ht="14.25" hidden="false" customHeight="false" outlineLevel="0" collapsed="false">
      <c r="M96" s="29"/>
      <c r="U96" s="29"/>
    </row>
    <row r="97" customFormat="false" ht="14.25" hidden="false" customHeight="false" outlineLevel="0" collapsed="false">
      <c r="M97" s="29"/>
      <c r="U97" s="29"/>
    </row>
    <row r="98" customFormat="false" ht="14.25" hidden="false" customHeight="false" outlineLevel="0" collapsed="false">
      <c r="M98" s="29"/>
      <c r="U98" s="29"/>
    </row>
    <row r="99" customFormat="false" ht="14.25" hidden="false" customHeight="false" outlineLevel="0" collapsed="false">
      <c r="M99" s="29"/>
      <c r="U99" s="29"/>
    </row>
    <row r="100" customFormat="false" ht="14.25" hidden="false" customHeight="false" outlineLevel="0" collapsed="false">
      <c r="M100" s="29"/>
      <c r="U100" s="29"/>
    </row>
    <row r="101" customFormat="false" ht="14.25" hidden="false" customHeight="false" outlineLevel="0" collapsed="false">
      <c r="M101" s="29"/>
      <c r="U101" s="29"/>
    </row>
    <row r="102" customFormat="false" ht="14.25" hidden="false" customHeight="false" outlineLevel="0" collapsed="false">
      <c r="M102" s="29"/>
      <c r="U102" s="29"/>
    </row>
    <row r="103" customFormat="false" ht="14.25" hidden="false" customHeight="false" outlineLevel="0" collapsed="false">
      <c r="M103" s="29"/>
      <c r="U103" s="29"/>
    </row>
    <row r="104" customFormat="false" ht="14.25" hidden="false" customHeight="false" outlineLevel="0" collapsed="false">
      <c r="M104" s="29"/>
      <c r="U104" s="29"/>
    </row>
    <row r="105" customFormat="false" ht="14.25" hidden="false" customHeight="false" outlineLevel="0" collapsed="false">
      <c r="M105" s="29"/>
      <c r="U105" s="29"/>
    </row>
    <row r="106" customFormat="false" ht="14.25" hidden="false" customHeight="false" outlineLevel="0" collapsed="false">
      <c r="M106" s="29"/>
      <c r="U106" s="29"/>
    </row>
    <row r="107" customFormat="false" ht="14.25" hidden="false" customHeight="false" outlineLevel="0" collapsed="false">
      <c r="M107" s="29"/>
      <c r="U107" s="29"/>
    </row>
    <row r="108" customFormat="false" ht="14.25" hidden="false" customHeight="false" outlineLevel="0" collapsed="false">
      <c r="M108" s="29"/>
      <c r="U108" s="29"/>
    </row>
    <row r="109" customFormat="false" ht="14.25" hidden="false" customHeight="false" outlineLevel="0" collapsed="false">
      <c r="M109" s="29"/>
      <c r="U109" s="29"/>
    </row>
    <row r="110" customFormat="false" ht="14.25" hidden="false" customHeight="false" outlineLevel="0" collapsed="false">
      <c r="M110" s="29"/>
      <c r="U110" s="29"/>
    </row>
    <row r="111" customFormat="false" ht="14.25" hidden="false" customHeight="false" outlineLevel="0" collapsed="false">
      <c r="M111" s="29"/>
      <c r="U111" s="29"/>
    </row>
    <row r="112" customFormat="false" ht="14.25" hidden="false" customHeight="false" outlineLevel="0" collapsed="false">
      <c r="M112" s="29"/>
      <c r="U112" s="29"/>
    </row>
    <row r="113" customFormat="false" ht="14.25" hidden="false" customHeight="false" outlineLevel="0" collapsed="false">
      <c r="M113" s="29"/>
      <c r="U113" s="29"/>
    </row>
    <row r="114" customFormat="false" ht="14.25" hidden="false" customHeight="false" outlineLevel="0" collapsed="false">
      <c r="M114" s="29"/>
      <c r="U114" s="29"/>
    </row>
    <row r="115" customFormat="false" ht="14.25" hidden="false" customHeight="false" outlineLevel="0" collapsed="false">
      <c r="M115" s="29"/>
      <c r="U115" s="29"/>
    </row>
    <row r="116" customFormat="false" ht="14.25" hidden="false" customHeight="false" outlineLevel="0" collapsed="false">
      <c r="M116" s="29"/>
      <c r="U116" s="29"/>
    </row>
    <row r="117" customFormat="false" ht="14.25" hidden="false" customHeight="false" outlineLevel="0" collapsed="false">
      <c r="M117" s="29"/>
      <c r="U117" s="29"/>
    </row>
    <row r="118" customFormat="false" ht="14.25" hidden="false" customHeight="false" outlineLevel="0" collapsed="false">
      <c r="M118" s="29"/>
      <c r="U118" s="29"/>
    </row>
    <row r="119" customFormat="false" ht="14.25" hidden="false" customHeight="false" outlineLevel="0" collapsed="false">
      <c r="M119" s="29"/>
      <c r="U119" s="29"/>
    </row>
    <row r="120" customFormat="false" ht="14.25" hidden="false" customHeight="false" outlineLevel="0" collapsed="false">
      <c r="M120" s="29"/>
      <c r="U120" s="29"/>
    </row>
    <row r="121" customFormat="false" ht="14.25" hidden="false" customHeight="false" outlineLevel="0" collapsed="false">
      <c r="M121" s="29"/>
      <c r="U121" s="29"/>
    </row>
    <row r="122" customFormat="false" ht="14.25" hidden="false" customHeight="false" outlineLevel="0" collapsed="false">
      <c r="M122" s="29"/>
      <c r="U122" s="29"/>
    </row>
    <row r="123" customFormat="false" ht="14.25" hidden="false" customHeight="false" outlineLevel="0" collapsed="false">
      <c r="M123" s="29"/>
      <c r="U123" s="29"/>
    </row>
    <row r="124" customFormat="false" ht="14.25" hidden="false" customHeight="false" outlineLevel="0" collapsed="false">
      <c r="M124" s="29"/>
      <c r="U124" s="29"/>
    </row>
    <row r="125" customFormat="false" ht="14.25" hidden="false" customHeight="false" outlineLevel="0" collapsed="false">
      <c r="M125" s="29"/>
      <c r="U125" s="29"/>
    </row>
    <row r="126" customFormat="false" ht="14.25" hidden="false" customHeight="false" outlineLevel="0" collapsed="false">
      <c r="M126" s="29"/>
      <c r="U126" s="29"/>
    </row>
    <row r="127" customFormat="false" ht="14.25" hidden="false" customHeight="false" outlineLevel="0" collapsed="false">
      <c r="M127" s="29"/>
      <c r="U127" s="29"/>
    </row>
    <row r="128" customFormat="false" ht="14.25" hidden="false" customHeight="false" outlineLevel="0" collapsed="false">
      <c r="M128" s="29"/>
      <c r="U128" s="29"/>
    </row>
    <row r="129" customFormat="false" ht="14.25" hidden="false" customHeight="false" outlineLevel="0" collapsed="false">
      <c r="M129" s="29"/>
      <c r="U129" s="29"/>
    </row>
    <row r="130" customFormat="false" ht="14.25" hidden="false" customHeight="false" outlineLevel="0" collapsed="false">
      <c r="M130" s="29"/>
      <c r="U130" s="29"/>
    </row>
    <row r="131" customFormat="false" ht="14.25" hidden="false" customHeight="false" outlineLevel="0" collapsed="false">
      <c r="M131" s="29"/>
      <c r="U131" s="29"/>
    </row>
    <row r="132" customFormat="false" ht="14.25" hidden="false" customHeight="false" outlineLevel="0" collapsed="false">
      <c r="M132" s="29"/>
      <c r="U132" s="29"/>
    </row>
    <row r="133" customFormat="false" ht="14.25" hidden="false" customHeight="false" outlineLevel="0" collapsed="false">
      <c r="M133" s="29"/>
      <c r="U133" s="29"/>
    </row>
    <row r="134" customFormat="false" ht="14.25" hidden="false" customHeight="false" outlineLevel="0" collapsed="false">
      <c r="M134" s="29"/>
      <c r="U134" s="29"/>
    </row>
    <row r="135" customFormat="false" ht="14.25" hidden="false" customHeight="false" outlineLevel="0" collapsed="false">
      <c r="M135" s="29"/>
      <c r="U135" s="29"/>
    </row>
    <row r="136" customFormat="false" ht="14.25" hidden="false" customHeight="false" outlineLevel="0" collapsed="false">
      <c r="M136" s="29"/>
      <c r="U136" s="29"/>
    </row>
    <row r="137" customFormat="false" ht="14.25" hidden="false" customHeight="false" outlineLevel="0" collapsed="false">
      <c r="M137" s="29"/>
      <c r="U137" s="29"/>
    </row>
    <row r="138" customFormat="false" ht="14.25" hidden="false" customHeight="false" outlineLevel="0" collapsed="false">
      <c r="M138" s="29"/>
      <c r="U138" s="29"/>
    </row>
    <row r="139" customFormat="false" ht="14.25" hidden="false" customHeight="false" outlineLevel="0" collapsed="false">
      <c r="M139" s="29"/>
      <c r="U139" s="29"/>
    </row>
    <row r="140" customFormat="false" ht="14.25" hidden="false" customHeight="false" outlineLevel="0" collapsed="false">
      <c r="M140" s="29"/>
      <c r="U140" s="29"/>
    </row>
    <row r="141" customFormat="false" ht="14.25" hidden="false" customHeight="false" outlineLevel="0" collapsed="false">
      <c r="M141" s="29"/>
      <c r="U141" s="29"/>
    </row>
    <row r="142" customFormat="false" ht="14.25" hidden="false" customHeight="false" outlineLevel="0" collapsed="false">
      <c r="M142" s="29"/>
      <c r="U142" s="29"/>
    </row>
    <row r="143" customFormat="false" ht="14.25" hidden="false" customHeight="false" outlineLevel="0" collapsed="false">
      <c r="M143" s="29"/>
      <c r="U143" s="29"/>
    </row>
    <row r="144" customFormat="false" ht="14.25" hidden="false" customHeight="false" outlineLevel="0" collapsed="false">
      <c r="M144" s="29"/>
      <c r="U144" s="29"/>
    </row>
    <row r="145" customFormat="false" ht="14.25" hidden="false" customHeight="false" outlineLevel="0" collapsed="false">
      <c r="M145" s="29"/>
      <c r="U145" s="29"/>
    </row>
    <row r="146" customFormat="false" ht="14.25" hidden="false" customHeight="false" outlineLevel="0" collapsed="false">
      <c r="M146" s="29"/>
      <c r="U146" s="29"/>
    </row>
    <row r="147" customFormat="false" ht="14.25" hidden="false" customHeight="false" outlineLevel="0" collapsed="false">
      <c r="M147" s="29"/>
      <c r="U147" s="29"/>
    </row>
    <row r="148" customFormat="false" ht="14.25" hidden="false" customHeight="false" outlineLevel="0" collapsed="false">
      <c r="M148" s="29"/>
      <c r="U148" s="29"/>
    </row>
    <row r="149" customFormat="false" ht="14.25" hidden="false" customHeight="false" outlineLevel="0" collapsed="false">
      <c r="M149" s="29"/>
      <c r="U149" s="29"/>
    </row>
    <row r="150" customFormat="false" ht="14.25" hidden="false" customHeight="false" outlineLevel="0" collapsed="false">
      <c r="M150" s="29"/>
    </row>
    <row r="151" customFormat="false" ht="14.25" hidden="false" customHeight="false" outlineLevel="0" collapsed="false">
      <c r="M151" s="29"/>
    </row>
    <row r="152" customFormat="false" ht="14.25" hidden="false" customHeight="false" outlineLevel="0" collapsed="false">
      <c r="M152" s="29"/>
    </row>
    <row r="153" customFormat="false" ht="14.25" hidden="false" customHeight="false" outlineLevel="0" collapsed="false">
      <c r="M153" s="29"/>
    </row>
    <row r="154" customFormat="false" ht="14.25" hidden="false" customHeight="false" outlineLevel="0" collapsed="false">
      <c r="M154" s="29"/>
    </row>
    <row r="155" customFormat="false" ht="14.25" hidden="false" customHeight="false" outlineLevel="0" collapsed="false">
      <c r="M155" s="29"/>
    </row>
    <row r="156" customFormat="false" ht="14.25" hidden="false" customHeight="false" outlineLevel="0" collapsed="false">
      <c r="M156" s="29"/>
    </row>
    <row r="157" customFormat="false" ht="14.25" hidden="false" customHeight="false" outlineLevel="0" collapsed="false">
      <c r="M157" s="29"/>
    </row>
    <row r="158" customFormat="false" ht="14.25" hidden="false" customHeight="false" outlineLevel="0" collapsed="false">
      <c r="M158" s="29"/>
    </row>
    <row r="159" customFormat="false" ht="14.25" hidden="false" customHeight="false" outlineLevel="0" collapsed="false">
      <c r="M159" s="29"/>
    </row>
    <row r="160" customFormat="false" ht="14.25" hidden="false" customHeight="false" outlineLevel="0" collapsed="false">
      <c r="M160" s="29"/>
    </row>
    <row r="161" customFormat="false" ht="14.25" hidden="false" customHeight="false" outlineLevel="0" collapsed="false">
      <c r="M161" s="29"/>
    </row>
    <row r="162" customFormat="false" ht="14.25" hidden="false" customHeight="false" outlineLevel="0" collapsed="false">
      <c r="M162" s="29"/>
    </row>
    <row r="163" customFormat="false" ht="14.25" hidden="false" customHeight="false" outlineLevel="0" collapsed="false">
      <c r="M163" s="29"/>
    </row>
    <row r="164" customFormat="false" ht="14.25" hidden="false" customHeight="false" outlineLevel="0" collapsed="false">
      <c r="M164" s="29"/>
    </row>
    <row r="165" customFormat="false" ht="14.25" hidden="false" customHeight="false" outlineLevel="0" collapsed="false">
      <c r="M165" s="29"/>
    </row>
    <row r="166" customFormat="false" ht="14.25" hidden="false" customHeight="false" outlineLevel="0" collapsed="false">
      <c r="M166" s="29"/>
    </row>
    <row r="167" customFormat="false" ht="14.25" hidden="false" customHeight="false" outlineLevel="0" collapsed="false">
      <c r="M167" s="29"/>
    </row>
    <row r="168" customFormat="false" ht="14.25" hidden="false" customHeight="false" outlineLevel="0" collapsed="false">
      <c r="M168" s="29"/>
    </row>
    <row r="169" customFormat="false" ht="14.25" hidden="false" customHeight="false" outlineLevel="0" collapsed="false">
      <c r="M169" s="29"/>
    </row>
    <row r="170" customFormat="false" ht="14.25" hidden="false" customHeight="false" outlineLevel="0" collapsed="false">
      <c r="M170" s="29"/>
    </row>
    <row r="171" customFormat="false" ht="14.25" hidden="false" customHeight="false" outlineLevel="0" collapsed="false">
      <c r="M171" s="29"/>
    </row>
    <row r="172" customFormat="false" ht="14.25" hidden="false" customHeight="false" outlineLevel="0" collapsed="false">
      <c r="M172" s="29"/>
    </row>
    <row r="173" customFormat="false" ht="14.25" hidden="false" customHeight="false" outlineLevel="0" collapsed="false">
      <c r="M173" s="29"/>
    </row>
    <row r="174" customFormat="false" ht="14.25" hidden="false" customHeight="false" outlineLevel="0" collapsed="false">
      <c r="M174" s="29"/>
    </row>
    <row r="175" customFormat="false" ht="14.25" hidden="false" customHeight="false" outlineLevel="0" collapsed="false">
      <c r="M175" s="29"/>
    </row>
    <row r="176" customFormat="false" ht="14.25" hidden="false" customHeight="false" outlineLevel="0" collapsed="false">
      <c r="M176" s="29"/>
    </row>
    <row r="177" customFormat="false" ht="14.25" hidden="false" customHeight="false" outlineLevel="0" collapsed="false">
      <c r="M177" s="29"/>
    </row>
    <row r="178" customFormat="false" ht="14.25" hidden="false" customHeight="false" outlineLevel="0" collapsed="false">
      <c r="M178" s="29"/>
    </row>
    <row r="179" customFormat="false" ht="14.25" hidden="false" customHeight="false" outlineLevel="0" collapsed="false">
      <c r="M179" s="29"/>
    </row>
    <row r="180" customFormat="false" ht="14.25" hidden="false" customHeight="false" outlineLevel="0" collapsed="false">
      <c r="M180" s="29"/>
    </row>
    <row r="181" customFormat="false" ht="14.25" hidden="false" customHeight="false" outlineLevel="0" collapsed="false">
      <c r="M181" s="29"/>
    </row>
    <row r="182" customFormat="false" ht="14.25" hidden="false" customHeight="false" outlineLevel="0" collapsed="false">
      <c r="M182" s="29"/>
    </row>
    <row r="183" customFormat="false" ht="14.25" hidden="false" customHeight="false" outlineLevel="0" collapsed="false">
      <c r="M183" s="29"/>
    </row>
    <row r="184" customFormat="false" ht="14.25" hidden="false" customHeight="false" outlineLevel="0" collapsed="false">
      <c r="M184" s="29"/>
    </row>
    <row r="185" customFormat="false" ht="14.25" hidden="false" customHeight="false" outlineLevel="0" collapsed="false">
      <c r="M185" s="29"/>
    </row>
    <row r="186" customFormat="false" ht="14.25" hidden="false" customHeight="false" outlineLevel="0" collapsed="false">
      <c r="M186" s="29"/>
    </row>
    <row r="187" customFormat="false" ht="14.25" hidden="false" customHeight="false" outlineLevel="0" collapsed="false">
      <c r="M187" s="29"/>
    </row>
    <row r="188" customFormat="false" ht="14.25" hidden="false" customHeight="false" outlineLevel="0" collapsed="false">
      <c r="M188" s="29"/>
    </row>
    <row r="189" customFormat="false" ht="14.25" hidden="false" customHeight="false" outlineLevel="0" collapsed="false">
      <c r="M189" s="29"/>
    </row>
    <row r="190" customFormat="false" ht="14.25" hidden="false" customHeight="false" outlineLevel="0" collapsed="false">
      <c r="M190" s="29"/>
    </row>
    <row r="191" customFormat="false" ht="14.25" hidden="false" customHeight="false" outlineLevel="0" collapsed="false">
      <c r="M191" s="29"/>
    </row>
    <row r="192" customFormat="false" ht="14.25" hidden="false" customHeight="false" outlineLevel="0" collapsed="false">
      <c r="M192" s="29"/>
    </row>
    <row r="193" customFormat="false" ht="14.25" hidden="false" customHeight="false" outlineLevel="0" collapsed="false">
      <c r="M193" s="29"/>
    </row>
    <row r="194" customFormat="false" ht="14.25" hidden="false" customHeight="false" outlineLevel="0" collapsed="false">
      <c r="M194" s="29"/>
    </row>
    <row r="195" customFormat="false" ht="14.25" hidden="false" customHeight="false" outlineLevel="0" collapsed="false">
      <c r="M195" s="29"/>
    </row>
    <row r="196" customFormat="false" ht="14.25" hidden="false" customHeight="false" outlineLevel="0" collapsed="false">
      <c r="M196" s="29"/>
    </row>
    <row r="197" customFormat="false" ht="14.25" hidden="false" customHeight="false" outlineLevel="0" collapsed="false">
      <c r="M197" s="29"/>
    </row>
    <row r="198" customFormat="false" ht="14.25" hidden="false" customHeight="false" outlineLevel="0" collapsed="false">
      <c r="M198" s="29"/>
    </row>
    <row r="199" customFormat="false" ht="14.25" hidden="false" customHeight="false" outlineLevel="0" collapsed="false">
      <c r="M199" s="29"/>
    </row>
    <row r="200" customFormat="false" ht="14.25" hidden="false" customHeight="false" outlineLevel="0" collapsed="false">
      <c r="M200" s="29"/>
    </row>
    <row r="201" customFormat="false" ht="14.25" hidden="false" customHeight="false" outlineLevel="0" collapsed="false">
      <c r="M201" s="29"/>
    </row>
    <row r="202" customFormat="false" ht="14.25" hidden="false" customHeight="false" outlineLevel="0" collapsed="false">
      <c r="M202" s="29"/>
    </row>
    <row r="203" customFormat="false" ht="14.25" hidden="false" customHeight="false" outlineLevel="0" collapsed="false">
      <c r="M203" s="29"/>
    </row>
    <row r="204" customFormat="false" ht="14.25" hidden="false" customHeight="false" outlineLevel="0" collapsed="false">
      <c r="M204" s="29"/>
    </row>
    <row r="205" customFormat="false" ht="14.25" hidden="false" customHeight="false" outlineLevel="0" collapsed="false">
      <c r="M205" s="29"/>
    </row>
    <row r="206" customFormat="false" ht="14.25" hidden="false" customHeight="false" outlineLevel="0" collapsed="false">
      <c r="M206" s="29"/>
    </row>
    <row r="207" customFormat="false" ht="14.25" hidden="false" customHeight="false" outlineLevel="0" collapsed="false">
      <c r="M207" s="29"/>
    </row>
    <row r="208" customFormat="false" ht="14.25" hidden="false" customHeight="false" outlineLevel="0" collapsed="false">
      <c r="M208" s="29"/>
    </row>
    <row r="209" customFormat="false" ht="14.25" hidden="false" customHeight="false" outlineLevel="0" collapsed="false">
      <c r="M209" s="29"/>
    </row>
    <row r="210" customFormat="false" ht="14.25" hidden="false" customHeight="false" outlineLevel="0" collapsed="false">
      <c r="M210" s="29"/>
    </row>
    <row r="211" customFormat="false" ht="14.25" hidden="false" customHeight="false" outlineLevel="0" collapsed="false">
      <c r="M211" s="29"/>
    </row>
    <row r="212" customFormat="false" ht="14.25" hidden="false" customHeight="false" outlineLevel="0" collapsed="false">
      <c r="M212" s="29"/>
    </row>
    <row r="213" customFormat="false" ht="14.25" hidden="false" customHeight="false" outlineLevel="0" collapsed="false">
      <c r="M213" s="29"/>
    </row>
    <row r="214" customFormat="false" ht="14.25" hidden="false" customHeight="false" outlineLevel="0" collapsed="false">
      <c r="M214" s="29"/>
    </row>
    <row r="215" customFormat="false" ht="14.25" hidden="false" customHeight="false" outlineLevel="0" collapsed="false">
      <c r="M215" s="29"/>
    </row>
    <row r="216" customFormat="false" ht="14.25" hidden="false" customHeight="false" outlineLevel="0" collapsed="false">
      <c r="M216" s="29"/>
    </row>
    <row r="217" customFormat="false" ht="14.25" hidden="false" customHeight="false" outlineLevel="0" collapsed="false">
      <c r="M217" s="29"/>
    </row>
    <row r="218" customFormat="false" ht="14.25" hidden="false" customHeight="false" outlineLevel="0" collapsed="false">
      <c r="M218" s="29"/>
    </row>
    <row r="219" customFormat="false" ht="14.25" hidden="false" customHeight="false" outlineLevel="0" collapsed="false">
      <c r="M219" s="29"/>
    </row>
    <row r="220" customFormat="false" ht="14.25" hidden="false" customHeight="false" outlineLevel="0" collapsed="false">
      <c r="M220" s="29"/>
    </row>
    <row r="221" customFormat="false" ht="14.25" hidden="false" customHeight="false" outlineLevel="0" collapsed="false">
      <c r="M221" s="29"/>
    </row>
    <row r="222" customFormat="false" ht="14.25" hidden="false" customHeight="false" outlineLevel="0" collapsed="false">
      <c r="M222" s="29"/>
    </row>
    <row r="223" customFormat="false" ht="14.25" hidden="false" customHeight="false" outlineLevel="0" collapsed="false">
      <c r="M223" s="29"/>
    </row>
    <row r="224" customFormat="false" ht="14.25" hidden="false" customHeight="false" outlineLevel="0" collapsed="false">
      <c r="M224" s="29"/>
    </row>
    <row r="225" customFormat="false" ht="14.25" hidden="false" customHeight="false" outlineLevel="0" collapsed="false">
      <c r="M225" s="29"/>
    </row>
    <row r="226" customFormat="false" ht="14.25" hidden="false" customHeight="false" outlineLevel="0" collapsed="false">
      <c r="M226" s="29"/>
    </row>
    <row r="227" customFormat="false" ht="14.25" hidden="false" customHeight="false" outlineLevel="0" collapsed="false">
      <c r="M227" s="29"/>
    </row>
    <row r="228" customFormat="false" ht="14.25" hidden="false" customHeight="false" outlineLevel="0" collapsed="false">
      <c r="M228" s="29"/>
    </row>
    <row r="229" customFormat="false" ht="14.25" hidden="false" customHeight="false" outlineLevel="0" collapsed="false">
      <c r="M229" s="29"/>
    </row>
    <row r="230" customFormat="false" ht="14.25" hidden="false" customHeight="false" outlineLevel="0" collapsed="false">
      <c r="M230" s="29"/>
    </row>
    <row r="231" customFormat="false" ht="14.25" hidden="false" customHeight="false" outlineLevel="0" collapsed="false">
      <c r="M231" s="29"/>
    </row>
    <row r="232" customFormat="false" ht="14.25" hidden="false" customHeight="false" outlineLevel="0" collapsed="false">
      <c r="M232" s="29"/>
    </row>
    <row r="233" customFormat="false" ht="14.25" hidden="false" customHeight="false" outlineLevel="0" collapsed="false">
      <c r="M233" s="29"/>
    </row>
    <row r="234" customFormat="false" ht="14.25" hidden="false" customHeight="false" outlineLevel="0" collapsed="false">
      <c r="M234" s="29"/>
    </row>
    <row r="235" customFormat="false" ht="14.25" hidden="false" customHeight="false" outlineLevel="0" collapsed="false">
      <c r="M235" s="29"/>
    </row>
    <row r="236" customFormat="false" ht="14.25" hidden="false" customHeight="false" outlineLevel="0" collapsed="false">
      <c r="M236" s="29"/>
    </row>
    <row r="237" customFormat="false" ht="14.25" hidden="false" customHeight="false" outlineLevel="0" collapsed="false">
      <c r="M237" s="29"/>
    </row>
    <row r="238" customFormat="false" ht="14.25" hidden="false" customHeight="false" outlineLevel="0" collapsed="false">
      <c r="M238" s="29"/>
    </row>
    <row r="239" customFormat="false" ht="14.25" hidden="false" customHeight="false" outlineLevel="0" collapsed="false">
      <c r="M239" s="29"/>
    </row>
    <row r="240" customFormat="false" ht="14.25" hidden="false" customHeight="false" outlineLevel="0" collapsed="false">
      <c r="M240" s="29"/>
    </row>
    <row r="241" customFormat="false" ht="14.25" hidden="false" customHeight="false" outlineLevel="0" collapsed="false">
      <c r="M241" s="29"/>
    </row>
    <row r="242" customFormat="false" ht="14.25" hidden="false" customHeight="false" outlineLevel="0" collapsed="false">
      <c r="M242" s="29"/>
    </row>
    <row r="243" customFormat="false" ht="14.25" hidden="false" customHeight="false" outlineLevel="0" collapsed="false">
      <c r="M243" s="29"/>
    </row>
    <row r="244" customFormat="false" ht="14.25" hidden="false" customHeight="false" outlineLevel="0" collapsed="false">
      <c r="M244" s="29"/>
    </row>
    <row r="245" customFormat="false" ht="14.25" hidden="false" customHeight="false" outlineLevel="0" collapsed="false">
      <c r="M245" s="29"/>
    </row>
    <row r="246" customFormat="false" ht="14.25" hidden="false" customHeight="false" outlineLevel="0" collapsed="false">
      <c r="M246" s="29"/>
    </row>
    <row r="247" customFormat="false" ht="14.25" hidden="false" customHeight="false" outlineLevel="0" collapsed="false">
      <c r="M247" s="29"/>
    </row>
    <row r="248" customFormat="false" ht="14.25" hidden="false" customHeight="false" outlineLevel="0" collapsed="false">
      <c r="M248" s="29"/>
    </row>
    <row r="249" customFormat="false" ht="14.25" hidden="false" customHeight="false" outlineLevel="0" collapsed="false">
      <c r="M249" s="29"/>
    </row>
    <row r="250" customFormat="false" ht="14.25" hidden="false" customHeight="false" outlineLevel="0" collapsed="false">
      <c r="M250" s="29"/>
    </row>
    <row r="251" customFormat="false" ht="14.25" hidden="false" customHeight="false" outlineLevel="0" collapsed="false">
      <c r="M251" s="29"/>
    </row>
    <row r="252" customFormat="false" ht="14.25" hidden="false" customHeight="false" outlineLevel="0" collapsed="false">
      <c r="M252" s="29"/>
    </row>
    <row r="253" customFormat="false" ht="14.25" hidden="false" customHeight="false" outlineLevel="0" collapsed="false">
      <c r="M253" s="29"/>
    </row>
    <row r="254" customFormat="false" ht="14.25" hidden="false" customHeight="false" outlineLevel="0" collapsed="false">
      <c r="M254" s="29"/>
    </row>
    <row r="255" customFormat="false" ht="14.25" hidden="false" customHeight="false" outlineLevel="0" collapsed="false">
      <c r="M255" s="29"/>
    </row>
    <row r="256" customFormat="false" ht="14.25" hidden="false" customHeight="false" outlineLevel="0" collapsed="false">
      <c r="M256" s="29"/>
    </row>
    <row r="257" customFormat="false" ht="14.25" hidden="false" customHeight="false" outlineLevel="0" collapsed="false">
      <c r="M257" s="29"/>
    </row>
    <row r="258" customFormat="false" ht="14.25" hidden="false" customHeight="false" outlineLevel="0" collapsed="false">
      <c r="M258" s="29"/>
    </row>
    <row r="259" customFormat="false" ht="14.25" hidden="false" customHeight="false" outlineLevel="0" collapsed="false">
      <c r="M259" s="29"/>
    </row>
    <row r="260" customFormat="false" ht="14.25" hidden="false" customHeight="false" outlineLevel="0" collapsed="false">
      <c r="M260" s="29"/>
    </row>
    <row r="261" customFormat="false" ht="14.25" hidden="false" customHeight="false" outlineLevel="0" collapsed="false">
      <c r="M261" s="29"/>
    </row>
    <row r="262" customFormat="false" ht="14.25" hidden="false" customHeight="false" outlineLevel="0" collapsed="false">
      <c r="M262" s="29"/>
    </row>
    <row r="263" customFormat="false" ht="14.25" hidden="false" customHeight="false" outlineLevel="0" collapsed="false">
      <c r="M263" s="29"/>
    </row>
    <row r="264" customFormat="false" ht="14.25" hidden="false" customHeight="false" outlineLevel="0" collapsed="false">
      <c r="M264" s="29"/>
    </row>
    <row r="265" customFormat="false" ht="14.25" hidden="false" customHeight="false" outlineLevel="0" collapsed="false">
      <c r="M265" s="29"/>
    </row>
    <row r="266" customFormat="false" ht="14.25" hidden="false" customHeight="false" outlineLevel="0" collapsed="false">
      <c r="M266" s="29"/>
    </row>
    <row r="267" customFormat="false" ht="14.25" hidden="false" customHeight="false" outlineLevel="0" collapsed="false">
      <c r="M267" s="29"/>
    </row>
    <row r="268" customFormat="false" ht="14.25" hidden="false" customHeight="false" outlineLevel="0" collapsed="false">
      <c r="M268" s="29"/>
    </row>
    <row r="269" customFormat="false" ht="14.25" hidden="false" customHeight="false" outlineLevel="0" collapsed="false">
      <c r="M269" s="29"/>
    </row>
    <row r="270" customFormat="false" ht="14.25" hidden="false" customHeight="false" outlineLevel="0" collapsed="false">
      <c r="M270" s="29"/>
    </row>
    <row r="271" customFormat="false" ht="14.25" hidden="false" customHeight="false" outlineLevel="0" collapsed="false">
      <c r="M271" s="29"/>
    </row>
    <row r="272" customFormat="false" ht="14.25" hidden="false" customHeight="false" outlineLevel="0" collapsed="false">
      <c r="M272" s="29"/>
    </row>
    <row r="273" customFormat="false" ht="14.25" hidden="false" customHeight="false" outlineLevel="0" collapsed="false">
      <c r="M273" s="29"/>
    </row>
    <row r="274" customFormat="false" ht="14.25" hidden="false" customHeight="false" outlineLevel="0" collapsed="false">
      <c r="M274" s="29"/>
    </row>
    <row r="275" customFormat="false" ht="14.25" hidden="false" customHeight="false" outlineLevel="0" collapsed="false">
      <c r="M275" s="29"/>
    </row>
    <row r="276" customFormat="false" ht="14.25" hidden="false" customHeight="false" outlineLevel="0" collapsed="false">
      <c r="M276" s="29"/>
    </row>
    <row r="277" customFormat="false" ht="14.25" hidden="false" customHeight="false" outlineLevel="0" collapsed="false">
      <c r="M277" s="29"/>
    </row>
    <row r="278" customFormat="false" ht="14.25" hidden="false" customHeight="false" outlineLevel="0" collapsed="false">
      <c r="M278" s="29"/>
    </row>
    <row r="279" customFormat="false" ht="14.25" hidden="false" customHeight="false" outlineLevel="0" collapsed="false">
      <c r="M279" s="29"/>
    </row>
    <row r="280" customFormat="false" ht="14.25" hidden="false" customHeight="false" outlineLevel="0" collapsed="false">
      <c r="M280" s="29"/>
    </row>
    <row r="281" customFormat="false" ht="14.25" hidden="false" customHeight="false" outlineLevel="0" collapsed="false">
      <c r="M281" s="29"/>
    </row>
    <row r="282" customFormat="false" ht="14.25" hidden="false" customHeight="false" outlineLevel="0" collapsed="false">
      <c r="M282" s="29"/>
    </row>
    <row r="283" customFormat="false" ht="14.25" hidden="false" customHeight="false" outlineLevel="0" collapsed="false">
      <c r="M283" s="29"/>
    </row>
    <row r="284" customFormat="false" ht="14.25" hidden="false" customHeight="false" outlineLevel="0" collapsed="false">
      <c r="M284" s="29"/>
    </row>
    <row r="285" customFormat="false" ht="14.25" hidden="false" customHeight="false" outlineLevel="0" collapsed="false">
      <c r="M285" s="29"/>
    </row>
    <row r="286" customFormat="false" ht="14.25" hidden="false" customHeight="false" outlineLevel="0" collapsed="false">
      <c r="M286" s="29"/>
    </row>
    <row r="287" customFormat="false" ht="14.25" hidden="false" customHeight="false" outlineLevel="0" collapsed="false">
      <c r="M287" s="29"/>
    </row>
    <row r="288" customFormat="false" ht="14.25" hidden="false" customHeight="false" outlineLevel="0" collapsed="false">
      <c r="M288" s="29"/>
    </row>
    <row r="289" customFormat="false" ht="14.25" hidden="false" customHeight="false" outlineLevel="0" collapsed="false">
      <c r="M289" s="29"/>
    </row>
    <row r="290" customFormat="false" ht="14.25" hidden="false" customHeight="false" outlineLevel="0" collapsed="false">
      <c r="M290" s="29"/>
    </row>
    <row r="291" customFormat="false" ht="14.25" hidden="false" customHeight="false" outlineLevel="0" collapsed="false">
      <c r="M291" s="29"/>
    </row>
    <row r="292" customFormat="false" ht="14.25" hidden="false" customHeight="false" outlineLevel="0" collapsed="false">
      <c r="M292" s="29"/>
    </row>
    <row r="293" customFormat="false" ht="14.25" hidden="false" customHeight="false" outlineLevel="0" collapsed="false">
      <c r="M293" s="29"/>
    </row>
    <row r="294" customFormat="false" ht="14.25" hidden="false" customHeight="false" outlineLevel="0" collapsed="false">
      <c r="M294" s="29"/>
    </row>
    <row r="295" customFormat="false" ht="14.25" hidden="false" customHeight="false" outlineLevel="0" collapsed="false">
      <c r="M295" s="29"/>
    </row>
    <row r="296" customFormat="false" ht="14.25" hidden="false" customHeight="false" outlineLevel="0" collapsed="false">
      <c r="M296" s="29"/>
    </row>
    <row r="297" customFormat="false" ht="14.25" hidden="false" customHeight="false" outlineLevel="0" collapsed="false">
      <c r="M297" s="29"/>
    </row>
    <row r="298" customFormat="false" ht="14.25" hidden="false" customHeight="false" outlineLevel="0" collapsed="false">
      <c r="M298" s="29"/>
    </row>
    <row r="299" customFormat="false" ht="14.25" hidden="false" customHeight="false" outlineLevel="0" collapsed="false">
      <c r="M299" s="29"/>
    </row>
    <row r="300" customFormat="false" ht="14.25" hidden="false" customHeight="false" outlineLevel="0" collapsed="false">
      <c r="M300" s="29"/>
    </row>
    <row r="301" customFormat="false" ht="14.25" hidden="false" customHeight="false" outlineLevel="0" collapsed="false">
      <c r="M301" s="29"/>
    </row>
    <row r="302" customFormat="false" ht="14.25" hidden="false" customHeight="false" outlineLevel="0" collapsed="false">
      <c r="M302" s="29"/>
    </row>
    <row r="303" customFormat="false" ht="14.25" hidden="false" customHeight="false" outlineLevel="0" collapsed="false">
      <c r="M303" s="29"/>
    </row>
    <row r="304" customFormat="false" ht="14.25" hidden="false" customHeight="false" outlineLevel="0" collapsed="false">
      <c r="M304" s="29"/>
    </row>
    <row r="305" customFormat="false" ht="14.25" hidden="false" customHeight="false" outlineLevel="0" collapsed="false">
      <c r="M305" s="29"/>
    </row>
    <row r="306" customFormat="false" ht="14.25" hidden="false" customHeight="false" outlineLevel="0" collapsed="false">
      <c r="M306" s="29"/>
    </row>
    <row r="307" customFormat="false" ht="14.25" hidden="false" customHeight="false" outlineLevel="0" collapsed="false">
      <c r="M307" s="29"/>
    </row>
    <row r="308" customFormat="false" ht="14.25" hidden="false" customHeight="false" outlineLevel="0" collapsed="false">
      <c r="M308" s="29"/>
    </row>
    <row r="309" customFormat="false" ht="14.25" hidden="false" customHeight="false" outlineLevel="0" collapsed="false">
      <c r="M309" s="29"/>
    </row>
    <row r="310" customFormat="false" ht="14.25" hidden="false" customHeight="false" outlineLevel="0" collapsed="false">
      <c r="M310" s="29"/>
    </row>
    <row r="311" customFormat="false" ht="14.25" hidden="false" customHeight="false" outlineLevel="0" collapsed="false">
      <c r="M311" s="29"/>
    </row>
    <row r="312" customFormat="false" ht="14.25" hidden="false" customHeight="false" outlineLevel="0" collapsed="false">
      <c r="M312" s="29"/>
    </row>
    <row r="313" customFormat="false" ht="14.25" hidden="false" customHeight="false" outlineLevel="0" collapsed="false">
      <c r="M313" s="29"/>
    </row>
    <row r="314" customFormat="false" ht="14.25" hidden="false" customHeight="false" outlineLevel="0" collapsed="false">
      <c r="M314" s="29"/>
    </row>
    <row r="315" customFormat="false" ht="14.25" hidden="false" customHeight="false" outlineLevel="0" collapsed="false">
      <c r="M315" s="29"/>
    </row>
    <row r="316" customFormat="false" ht="14.25" hidden="false" customHeight="false" outlineLevel="0" collapsed="false">
      <c r="M316" s="29"/>
    </row>
    <row r="317" customFormat="false" ht="14.25" hidden="false" customHeight="false" outlineLevel="0" collapsed="false">
      <c r="M317" s="29"/>
    </row>
    <row r="318" customFormat="false" ht="14.25" hidden="false" customHeight="false" outlineLevel="0" collapsed="false">
      <c r="M318" s="29"/>
    </row>
    <row r="319" customFormat="false" ht="14.25" hidden="false" customHeight="false" outlineLevel="0" collapsed="false">
      <c r="M319" s="29"/>
    </row>
    <row r="320" customFormat="false" ht="14.25" hidden="false" customHeight="false" outlineLevel="0" collapsed="false">
      <c r="M320" s="29"/>
    </row>
    <row r="321" customFormat="false" ht="14.25" hidden="false" customHeight="false" outlineLevel="0" collapsed="false">
      <c r="M321" s="29"/>
    </row>
    <row r="322" customFormat="false" ht="14.25" hidden="false" customHeight="false" outlineLevel="0" collapsed="false">
      <c r="M322" s="29"/>
    </row>
    <row r="323" customFormat="false" ht="14.25" hidden="false" customHeight="false" outlineLevel="0" collapsed="false">
      <c r="M323" s="29"/>
    </row>
    <row r="324" customFormat="false" ht="14.25" hidden="false" customHeight="false" outlineLevel="0" collapsed="false">
      <c r="M324" s="29"/>
    </row>
    <row r="325" customFormat="false" ht="14.25" hidden="false" customHeight="false" outlineLevel="0" collapsed="false">
      <c r="M325" s="29"/>
    </row>
    <row r="326" customFormat="false" ht="14.25" hidden="false" customHeight="false" outlineLevel="0" collapsed="false">
      <c r="M326" s="29"/>
    </row>
    <row r="327" customFormat="false" ht="14.25" hidden="false" customHeight="false" outlineLevel="0" collapsed="false">
      <c r="M327" s="29"/>
    </row>
    <row r="328" customFormat="false" ht="14.25" hidden="false" customHeight="false" outlineLevel="0" collapsed="false">
      <c r="M328" s="29"/>
    </row>
    <row r="329" customFormat="false" ht="14.25" hidden="false" customHeight="false" outlineLevel="0" collapsed="false">
      <c r="M329" s="29"/>
    </row>
  </sheetData>
  <dataValidations count="1">
    <dataValidation allowBlank="true" errorStyle="stop" operator="between" showDropDown="false" showErrorMessage="true" showInputMessage="true" sqref="H3:H39" type="list">
      <formula1>$K$3:$K$9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a97c54-3012-49fd-8896-0db67528b2a3">
      <Terms xmlns="http://schemas.microsoft.com/office/infopath/2007/PartnerControls"/>
    </lcf76f155ced4ddcb4097134ff3c332f>
    <TaxCatchAll xmlns="a10d9883-6879-4486-9776-c67b50dca88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C1F259FB5F1743B0AABDE6E19F3587" ma:contentTypeVersion="14" ma:contentTypeDescription="Create a new document." ma:contentTypeScope="" ma:versionID="887a673b2990ad08cbc7da39ce2412c6">
  <xsd:schema xmlns:xsd="http://www.w3.org/2001/XMLSchema" xmlns:xs="http://www.w3.org/2001/XMLSchema" xmlns:p="http://schemas.microsoft.com/office/2006/metadata/properties" xmlns:ns2="9da97c54-3012-49fd-8896-0db67528b2a3" xmlns:ns3="a10d9883-6879-4486-9776-c67b50dca88e" targetNamespace="http://schemas.microsoft.com/office/2006/metadata/properties" ma:root="true" ma:fieldsID="e318ef65ff943bae84f18b0edea6bb11" ns2:_="" ns3:_="">
    <xsd:import namespace="9da97c54-3012-49fd-8896-0db67528b2a3"/>
    <xsd:import namespace="a10d9883-6879-4486-9776-c67b50dca8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a97c54-3012-49fd-8896-0db67528b2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9b50559-7390-452f-8d4d-780c6c1e43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d9883-6879-4486-9776-c67b50dca88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df82ea55-31e7-4a2b-b732-324075059262}" ma:internalName="TaxCatchAll" ma:showField="CatchAllData" ma:web="a10d9883-6879-4486-9776-c67b50dca8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AF64ED-2D5B-4E11-8E1C-2E238971D7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DD9FF0-F1CC-4F04-BAE8-8534D757F315}">
  <ds:schemaRefs>
    <ds:schemaRef ds:uri="http://schemas.microsoft.com/office/2006/metadata/properties"/>
    <ds:schemaRef ds:uri="http://schemas.microsoft.com/office/infopath/2007/PartnerControls"/>
    <ds:schemaRef ds:uri="9da97c54-3012-49fd-8896-0db67528b2a3"/>
    <ds:schemaRef ds:uri="a10d9883-6879-4486-9776-c67b50dca88e"/>
  </ds:schemaRefs>
</ds:datastoreItem>
</file>

<file path=customXml/itemProps3.xml><?xml version="1.0" encoding="utf-8"?>
<ds:datastoreItem xmlns:ds="http://schemas.openxmlformats.org/officeDocument/2006/customXml" ds:itemID="{548618B9-8BD2-484D-B813-9A3C00C2E6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a97c54-3012-49fd-8896-0db67528b2a3"/>
    <ds:schemaRef ds:uri="a10d9883-6879-4486-9776-c67b50dca8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2023-09-25T17:06:00Z</dcterms:created>
  <dc:creator>McDonald, Geoff L EAO:EX</dc:creator>
  <dc:description/>
  <dc:language>en-US</dc:language>
  <cp:lastModifiedBy/>
  <dcterms:modified xsi:type="dcterms:W3CDTF">2025-05-09T11:08:10Z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0x010100E2C1F259FB5F1743B0AABDE6E19F3587</vt:lpwstr>
  </property>
  <property fmtid="{D5CDD505-2E9C-101B-9397-08002B2CF9AE}" pid="3" name="ICV">
    <vt:lpwstr>0D6526A5EA4E4FF7A48B7F5C1EA948E4</vt:lpwstr>
  </property>
  <property fmtid="{D5CDD505-2E9C-101B-9397-08002B2CF9AE}" pid="4" name="KSOProductBuildVer">
    <vt:lpwstr>1033-11.2.0.11225</vt:lpwstr>
  </property>
  <property fmtid="{D5CDD505-2E9C-101B-9397-08002B2CF9AE}" pid="5" name="MediaServiceImageTags">
    <vt:lpwstr/>
  </property>
</Properties>
</file>